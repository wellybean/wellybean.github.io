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c6772a435e5e7b2/"/>
    </mc:Choice>
  </mc:AlternateContent>
  <xr:revisionPtr revIDLastSave="0" documentId="8_{D0A7B447-9505-4869-BE85-742D48872834}" xr6:coauthVersionLast="36" xr6:coauthVersionMax="36" xr10:uidLastSave="{00000000-0000-0000-0000-000000000000}"/>
  <bookViews>
    <workbookView xWindow="0" yWindow="0" windowWidth="13224" windowHeight="5652" firstSheet="2" activeTab="2" xr2:uid="{ECE317D5-43D6-4D13-9DD9-6F56C4E2115F}"/>
  </bookViews>
  <sheets>
    <sheet name="Sheet1" sheetId="7" state="hidden" r:id="rId1"/>
    <sheet name="Sheet2" sheetId="8" state="hidden" r:id="rId2"/>
    <sheet name="MAIN" sheetId="4" r:id="rId3"/>
    <sheet name="FINAL ROSTER" sheetId="6" r:id="rId4"/>
  </sheets>
  <definedNames>
    <definedName name="avocadoS">#REF!</definedName>
    <definedName name="babyG">#REF!</definedName>
    <definedName name="bagel">#REF!</definedName>
    <definedName name="bakedBP">#REF!</definedName>
    <definedName name="balsamicG">#REF!</definedName>
    <definedName name="brownSBS">#REF!</definedName>
    <definedName name="burger">#REF!</definedName>
    <definedName name="burgerB">#REF!</definedName>
    <definedName name="butter">#REF!</definedName>
    <definedName name="cheddarS">#REF!</definedName>
    <definedName name="chickenF">#REF!</definedName>
    <definedName name="chips">#REF!</definedName>
    <definedName name="chocS">#REF!</definedName>
    <definedName name="ciabatta">#REF!</definedName>
    <definedName name="coffeeS">#REF!</definedName>
    <definedName name="creamC">#REF!</definedName>
    <definedName name="egg">#REF!</definedName>
    <definedName name="ExternalData_1" localSheetId="0" hidden="1">Sheet1!$A$1:$B$65</definedName>
    <definedName name="ExternalData_1" localSheetId="1" hidden="1">Sheet2!$A$1:$B$7</definedName>
    <definedName name="halloumiC">#REF!</definedName>
    <definedName name="hamS">#REF!</definedName>
    <definedName name="herbalTB">#REF!</definedName>
    <definedName name="hollandS">#REF!</definedName>
    <definedName name="hotD">#REF!</definedName>
    <definedName name="jam">#REF!</definedName>
    <definedName name="margin">#REF!</definedName>
    <definedName name="mayoS">#REF!</definedName>
    <definedName name="milkH">#REF!</definedName>
    <definedName name="milkS">#REF!</definedName>
    <definedName name="mixedL">#REF!</definedName>
    <definedName name="paperC">#REF!</definedName>
    <definedName name="pesto">#REF!</definedName>
    <definedName name="portoM">#REF!</definedName>
    <definedName name="pudding">#REF!</definedName>
    <definedName name="rasher">#REF!</definedName>
    <definedName name="redOR">#REF!</definedName>
    <definedName name="roastedP">#REF!</definedName>
    <definedName name="sausage">#REF!</definedName>
    <definedName name="scampi">#REF!</definedName>
    <definedName name="shavedP">#REF!</definedName>
    <definedName name="shortRB">#REF!</definedName>
    <definedName name="slicedT">#REF!</definedName>
    <definedName name="smashedSDT">#REF!</definedName>
    <definedName name="smokedS">#REF!</definedName>
    <definedName name="sourdoughS">#REF!</definedName>
    <definedName name="sugar">#REF!</definedName>
    <definedName name="teaB">#REF!</definedName>
    <definedName name="toastedHN">#REF!</definedName>
    <definedName name="tomatoR">#REF!</definedName>
    <definedName name="tunaP">#REF!</definedName>
    <definedName name="wrap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S5" i="4" l="1"/>
  <c r="K18" i="4"/>
  <c r="B2" i="6" l="1"/>
  <c r="AL1" i="4" l="1" a="1"/>
  <c r="AL1" i="4" s="1"/>
  <c r="AL281" i="4" l="1"/>
  <c r="AL271" i="4"/>
  <c r="AL260" i="4"/>
  <c r="AM249" i="4"/>
  <c r="AL239" i="4"/>
  <c r="AL228" i="4"/>
  <c r="AM217" i="4"/>
  <c r="AL207" i="4"/>
  <c r="AL196" i="4"/>
  <c r="AM185" i="4"/>
  <c r="AL175" i="4"/>
  <c r="AM144" i="4"/>
  <c r="AM102" i="4"/>
  <c r="AM60" i="4"/>
  <c r="AL284" i="4"/>
  <c r="AL279" i="4"/>
  <c r="AL268" i="4"/>
  <c r="AM257" i="4"/>
  <c r="AL247" i="4"/>
  <c r="AL236" i="4"/>
  <c r="AM225" i="4"/>
  <c r="AL215" i="4"/>
  <c r="AL204" i="4"/>
  <c r="AM193" i="4"/>
  <c r="AL183" i="4"/>
  <c r="AL172" i="4"/>
  <c r="AM134" i="4"/>
  <c r="AM92" i="4"/>
  <c r="AM48" i="4"/>
  <c r="AM283" i="4"/>
  <c r="AL276" i="4"/>
  <c r="AM265" i="4"/>
  <c r="AL255" i="4"/>
  <c r="AL244" i="4"/>
  <c r="AM233" i="4"/>
  <c r="AL223" i="4"/>
  <c r="AL212" i="4"/>
  <c r="AM201" i="4"/>
  <c r="AL191" i="4"/>
  <c r="AL180" i="4"/>
  <c r="AM166" i="4"/>
  <c r="AM124" i="4"/>
  <c r="AM80" i="4"/>
  <c r="AM32" i="4"/>
  <c r="AM281" i="4"/>
  <c r="AM273" i="4"/>
  <c r="AL263" i="4"/>
  <c r="AL252" i="4"/>
  <c r="AM241" i="4"/>
  <c r="AL231" i="4"/>
  <c r="AL220" i="4"/>
  <c r="AM209" i="4"/>
  <c r="AL199" i="4"/>
  <c r="AL188" i="4"/>
  <c r="AM177" i="4"/>
  <c r="AM156" i="4"/>
  <c r="AM112" i="4"/>
  <c r="AM70" i="4"/>
  <c r="AM16" i="4"/>
  <c r="AL278" i="4"/>
  <c r="AL273" i="4"/>
  <c r="AM267" i="4"/>
  <c r="AL262" i="4"/>
  <c r="AL254" i="4"/>
  <c r="AL249" i="4"/>
  <c r="AM243" i="4"/>
  <c r="AL238" i="4"/>
  <c r="AL233" i="4"/>
  <c r="AM227" i="4"/>
  <c r="AL222" i="4"/>
  <c r="AL214" i="4"/>
  <c r="AL209" i="4"/>
  <c r="AM203" i="4"/>
  <c r="AL198" i="4"/>
  <c r="AL190" i="4"/>
  <c r="AL185" i="4"/>
  <c r="AM179" i="4"/>
  <c r="AL174" i="4"/>
  <c r="AM164" i="4"/>
  <c r="AM142" i="4"/>
  <c r="AM120" i="4"/>
  <c r="AM100" i="4"/>
  <c r="AM78" i="4"/>
  <c r="AM56" i="4"/>
  <c r="AM46" i="4"/>
  <c r="AM14" i="4"/>
  <c r="AL283" i="4"/>
  <c r="AL280" i="4"/>
  <c r="AM277" i="4"/>
  <c r="AL275" i="4"/>
  <c r="AL272" i="4"/>
  <c r="AM269" i="4"/>
  <c r="AL267" i="4"/>
  <c r="AL264" i="4"/>
  <c r="AM261" i="4"/>
  <c r="AL259" i="4"/>
  <c r="AL256" i="4"/>
  <c r="AM253" i="4"/>
  <c r="AL251" i="4"/>
  <c r="AL248" i="4"/>
  <c r="AM245" i="4"/>
  <c r="AL243" i="4"/>
  <c r="AL240" i="4"/>
  <c r="AM237" i="4"/>
  <c r="AL235" i="4"/>
  <c r="AL232" i="4"/>
  <c r="AM229" i="4"/>
  <c r="AL227" i="4"/>
  <c r="AL224" i="4"/>
  <c r="AM221" i="4"/>
  <c r="AL219" i="4"/>
  <c r="AL216" i="4"/>
  <c r="AM213" i="4"/>
  <c r="AL211" i="4"/>
  <c r="AL208" i="4"/>
  <c r="AM205" i="4"/>
  <c r="AL203" i="4"/>
  <c r="AL200" i="4"/>
  <c r="AM197" i="4"/>
  <c r="AL195" i="4"/>
  <c r="AL192" i="4"/>
  <c r="AM189" i="4"/>
  <c r="AL187" i="4"/>
  <c r="AL184" i="4"/>
  <c r="AM181" i="4"/>
  <c r="AL179" i="4"/>
  <c r="AL176" i="4"/>
  <c r="AM173" i="4"/>
  <c r="AL171" i="4"/>
  <c r="AM160" i="4"/>
  <c r="AM150" i="4"/>
  <c r="AM140" i="4"/>
  <c r="AM128" i="4"/>
  <c r="AM118" i="4"/>
  <c r="AM108" i="4"/>
  <c r="AM96" i="4"/>
  <c r="AM86" i="4"/>
  <c r="AM76" i="4"/>
  <c r="AM64" i="4"/>
  <c r="AM54" i="4"/>
  <c r="AM40" i="4"/>
  <c r="AM24" i="4"/>
  <c r="AM8" i="4"/>
  <c r="AM275" i="4"/>
  <c r="AL270" i="4"/>
  <c r="AL265" i="4"/>
  <c r="AM259" i="4"/>
  <c r="AL257" i="4"/>
  <c r="AM251" i="4"/>
  <c r="AL246" i="4"/>
  <c r="AL241" i="4"/>
  <c r="AM235" i="4"/>
  <c r="AL230" i="4"/>
  <c r="AL225" i="4"/>
  <c r="AM219" i="4"/>
  <c r="AL217" i="4"/>
  <c r="AM211" i="4"/>
  <c r="AL206" i="4"/>
  <c r="AL201" i="4"/>
  <c r="AM195" i="4"/>
  <c r="AL193" i="4"/>
  <c r="AM187" i="4"/>
  <c r="AL182" i="4"/>
  <c r="AL177" i="4"/>
  <c r="AM171" i="4"/>
  <c r="AM152" i="4"/>
  <c r="AM132" i="4"/>
  <c r="AM110" i="4"/>
  <c r="AM88" i="4"/>
  <c r="AM68" i="4"/>
  <c r="AM30" i="4"/>
  <c r="AL282" i="4"/>
  <c r="AM279" i="4"/>
  <c r="AL277" i="4"/>
  <c r="AL274" i="4"/>
  <c r="AM271" i="4"/>
  <c r="AL269" i="4"/>
  <c r="AL266" i="4"/>
  <c r="AM263" i="4"/>
  <c r="AL261" i="4"/>
  <c r="AL258" i="4"/>
  <c r="AM255" i="4"/>
  <c r="AL253" i="4"/>
  <c r="AL250" i="4"/>
  <c r="AM247" i="4"/>
  <c r="AL245" i="4"/>
  <c r="AL242" i="4"/>
  <c r="AM239" i="4"/>
  <c r="AL237" i="4"/>
  <c r="AL234" i="4"/>
  <c r="AM231" i="4"/>
  <c r="AL229" i="4"/>
  <c r="AL226" i="4"/>
  <c r="AM223" i="4"/>
  <c r="AL221" i="4"/>
  <c r="AL218" i="4"/>
  <c r="AM215" i="4"/>
  <c r="AL213" i="4"/>
  <c r="AL210" i="4"/>
  <c r="AM207" i="4"/>
  <c r="AL205" i="4"/>
  <c r="AL202" i="4"/>
  <c r="AM199" i="4"/>
  <c r="AL197" i="4"/>
  <c r="AL194" i="4"/>
  <c r="AM191" i="4"/>
  <c r="AL189" i="4"/>
  <c r="AL186" i="4"/>
  <c r="AM183" i="4"/>
  <c r="AL181" i="4"/>
  <c r="AL178" i="4"/>
  <c r="AM175" i="4"/>
  <c r="AL173" i="4"/>
  <c r="AM168" i="4"/>
  <c r="AM158" i="4"/>
  <c r="AM148" i="4"/>
  <c r="AM136" i="4"/>
  <c r="AM126" i="4"/>
  <c r="AM116" i="4"/>
  <c r="AM104" i="4"/>
  <c r="AM94" i="4"/>
  <c r="AM84" i="4"/>
  <c r="AM72" i="4"/>
  <c r="AM62" i="4"/>
  <c r="AM52" i="4"/>
  <c r="AM38" i="4"/>
  <c r="AM22" i="4"/>
  <c r="AM6" i="4"/>
  <c r="AM44" i="4"/>
  <c r="AM36" i="4"/>
  <c r="AM28" i="4"/>
  <c r="AM20" i="4"/>
  <c r="AM12" i="4"/>
  <c r="AM4" i="4"/>
  <c r="AM284" i="4"/>
  <c r="AM282" i="4"/>
  <c r="AM280" i="4"/>
  <c r="AM278" i="4"/>
  <c r="AM276" i="4"/>
  <c r="AM274" i="4"/>
  <c r="AM272" i="4"/>
  <c r="AM270" i="4"/>
  <c r="AM268" i="4"/>
  <c r="AM266" i="4"/>
  <c r="AM264" i="4"/>
  <c r="AM262" i="4"/>
  <c r="AM260" i="4"/>
  <c r="AM258" i="4"/>
  <c r="AM256" i="4"/>
  <c r="AM254" i="4"/>
  <c r="AM252" i="4"/>
  <c r="AM250" i="4"/>
  <c r="AM248" i="4"/>
  <c r="AM246" i="4"/>
  <c r="AM244" i="4"/>
  <c r="AM242" i="4"/>
  <c r="AM240" i="4"/>
  <c r="AM238" i="4"/>
  <c r="AM236" i="4"/>
  <c r="AM234" i="4"/>
  <c r="AM232" i="4"/>
  <c r="AM230" i="4"/>
  <c r="AM228" i="4"/>
  <c r="AM226" i="4"/>
  <c r="AM224" i="4"/>
  <c r="AM222" i="4"/>
  <c r="AM220" i="4"/>
  <c r="AM218" i="4"/>
  <c r="AM216" i="4"/>
  <c r="AM214" i="4"/>
  <c r="AM212" i="4"/>
  <c r="AM210" i="4"/>
  <c r="AM208" i="4"/>
  <c r="AM206" i="4"/>
  <c r="AM204" i="4"/>
  <c r="AM202" i="4"/>
  <c r="AM200" i="4"/>
  <c r="AM198" i="4"/>
  <c r="AM196" i="4"/>
  <c r="AM194" i="4"/>
  <c r="AM192" i="4"/>
  <c r="AM190" i="4"/>
  <c r="AM188" i="4"/>
  <c r="AM186" i="4"/>
  <c r="AM184" i="4"/>
  <c r="AM182" i="4"/>
  <c r="AM180" i="4"/>
  <c r="AM178" i="4"/>
  <c r="AM176" i="4"/>
  <c r="AM174" i="4"/>
  <c r="AM172" i="4"/>
  <c r="AM170" i="4"/>
  <c r="AM162" i="4"/>
  <c r="AM154" i="4"/>
  <c r="AM146" i="4"/>
  <c r="AM138" i="4"/>
  <c r="AM130" i="4"/>
  <c r="AM122" i="4"/>
  <c r="AM114" i="4"/>
  <c r="AM106" i="4"/>
  <c r="AM98" i="4"/>
  <c r="AM90" i="4"/>
  <c r="AM82" i="4"/>
  <c r="AM74" i="4"/>
  <c r="AM66" i="4"/>
  <c r="AM58" i="4"/>
  <c r="AM50" i="4"/>
  <c r="AM42" i="4"/>
  <c r="AM34" i="4"/>
  <c r="AM26" i="4"/>
  <c r="AM18" i="4"/>
  <c r="AM10" i="4"/>
  <c r="AM2" i="4"/>
  <c r="AL170" i="4"/>
  <c r="AL168" i="4"/>
  <c r="AL166" i="4"/>
  <c r="AL164" i="4"/>
  <c r="AL162" i="4"/>
  <c r="AL160" i="4"/>
  <c r="AL158" i="4"/>
  <c r="AL156" i="4"/>
  <c r="AL154" i="4"/>
  <c r="AL152" i="4"/>
  <c r="AL150" i="4"/>
  <c r="AL148" i="4"/>
  <c r="AL146" i="4"/>
  <c r="AL144" i="4"/>
  <c r="AL142" i="4"/>
  <c r="AL140" i="4"/>
  <c r="AL138" i="4"/>
  <c r="AL136" i="4"/>
  <c r="AL134" i="4"/>
  <c r="AL132" i="4"/>
  <c r="AL130" i="4"/>
  <c r="AL128" i="4"/>
  <c r="AL126" i="4"/>
  <c r="AL124" i="4"/>
  <c r="AL122" i="4"/>
  <c r="AL120" i="4"/>
  <c r="AL118" i="4"/>
  <c r="AL116" i="4"/>
  <c r="AL114" i="4"/>
  <c r="AL112" i="4"/>
  <c r="AL110" i="4"/>
  <c r="AL108" i="4"/>
  <c r="AL106" i="4"/>
  <c r="AL104" i="4"/>
  <c r="AL102" i="4"/>
  <c r="AL100" i="4"/>
  <c r="AL98" i="4"/>
  <c r="AL96" i="4"/>
  <c r="AL94" i="4"/>
  <c r="AL92" i="4"/>
  <c r="AL90" i="4"/>
  <c r="AL88" i="4"/>
  <c r="AL86" i="4"/>
  <c r="AL84" i="4"/>
  <c r="AL82" i="4"/>
  <c r="AL80" i="4"/>
  <c r="AL78" i="4"/>
  <c r="AL76" i="4"/>
  <c r="AL74" i="4"/>
  <c r="AL72" i="4"/>
  <c r="AL70" i="4"/>
  <c r="AL68" i="4"/>
  <c r="AL66" i="4"/>
  <c r="AL64" i="4"/>
  <c r="AL62" i="4"/>
  <c r="AL60" i="4"/>
  <c r="AL58" i="4"/>
  <c r="AL56" i="4"/>
  <c r="AL54" i="4"/>
  <c r="AL52" i="4"/>
  <c r="AL50" i="4"/>
  <c r="AL48" i="4"/>
  <c r="AL46" i="4"/>
  <c r="AL44" i="4"/>
  <c r="AL42" i="4"/>
  <c r="AL40" i="4"/>
  <c r="AL38" i="4"/>
  <c r="AL36" i="4"/>
  <c r="AL34" i="4"/>
  <c r="AL32" i="4"/>
  <c r="AL30" i="4"/>
  <c r="AL28" i="4"/>
  <c r="AL26" i="4"/>
  <c r="AL24" i="4"/>
  <c r="AL22" i="4"/>
  <c r="AL20" i="4"/>
  <c r="AL18" i="4"/>
  <c r="AL16" i="4"/>
  <c r="AL14" i="4"/>
  <c r="AL12" i="4"/>
  <c r="AL10" i="4"/>
  <c r="AL8" i="4"/>
  <c r="AL6" i="4"/>
  <c r="AL4" i="4"/>
  <c r="AL2" i="4"/>
  <c r="AM169" i="4"/>
  <c r="AM167" i="4"/>
  <c r="AM165" i="4"/>
  <c r="AM163" i="4"/>
  <c r="AM161" i="4"/>
  <c r="AM159" i="4"/>
  <c r="AM157" i="4"/>
  <c r="AM155" i="4"/>
  <c r="AM153" i="4"/>
  <c r="AM151" i="4"/>
  <c r="AM149" i="4"/>
  <c r="AM147" i="4"/>
  <c r="AM145" i="4"/>
  <c r="AM143" i="4"/>
  <c r="AM141" i="4"/>
  <c r="AM139" i="4"/>
  <c r="AM137" i="4"/>
  <c r="AM135" i="4"/>
  <c r="AM133" i="4"/>
  <c r="AM131" i="4"/>
  <c r="AM129" i="4"/>
  <c r="AM127" i="4"/>
  <c r="AM125" i="4"/>
  <c r="AM123" i="4"/>
  <c r="AM121" i="4"/>
  <c r="AM119" i="4"/>
  <c r="AM117" i="4"/>
  <c r="AM115" i="4"/>
  <c r="AM113" i="4"/>
  <c r="AM111" i="4"/>
  <c r="AM109" i="4"/>
  <c r="AM107" i="4"/>
  <c r="AM105" i="4"/>
  <c r="AM103" i="4"/>
  <c r="AM101" i="4"/>
  <c r="AM99" i="4"/>
  <c r="AM97" i="4"/>
  <c r="AM95" i="4"/>
  <c r="AM93" i="4"/>
  <c r="AM91" i="4"/>
  <c r="AM89" i="4"/>
  <c r="AM87" i="4"/>
  <c r="AM85" i="4"/>
  <c r="AM83" i="4"/>
  <c r="AM81" i="4"/>
  <c r="AM79" i="4"/>
  <c r="AM77" i="4"/>
  <c r="AM75" i="4"/>
  <c r="AM73" i="4"/>
  <c r="AM71" i="4"/>
  <c r="AM69" i="4"/>
  <c r="AM67" i="4"/>
  <c r="AM65" i="4"/>
  <c r="AM63" i="4"/>
  <c r="AM61" i="4"/>
  <c r="AM59" i="4"/>
  <c r="AM57" i="4"/>
  <c r="AM55" i="4"/>
  <c r="AM53" i="4"/>
  <c r="AM51" i="4"/>
  <c r="AM49" i="4"/>
  <c r="AM47" i="4"/>
  <c r="AM45" i="4"/>
  <c r="AM43" i="4"/>
  <c r="AM41" i="4"/>
  <c r="AM39" i="4"/>
  <c r="AM37" i="4"/>
  <c r="AM35" i="4"/>
  <c r="AM33" i="4"/>
  <c r="AM31" i="4"/>
  <c r="AM29" i="4"/>
  <c r="AM27" i="4"/>
  <c r="AM25" i="4"/>
  <c r="AM23" i="4"/>
  <c r="AM21" i="4"/>
  <c r="AM19" i="4"/>
  <c r="AM17" i="4"/>
  <c r="AM15" i="4"/>
  <c r="AM13" i="4"/>
  <c r="AM11" i="4"/>
  <c r="AM9" i="4"/>
  <c r="AM7" i="4"/>
  <c r="AM5" i="4"/>
  <c r="AM3" i="4"/>
  <c r="AM1" i="4"/>
  <c r="AL169" i="4"/>
  <c r="AL167" i="4"/>
  <c r="AL165" i="4"/>
  <c r="AL163" i="4"/>
  <c r="AL161" i="4"/>
  <c r="AL159" i="4"/>
  <c r="AL157" i="4"/>
  <c r="AL155" i="4"/>
  <c r="AL153" i="4"/>
  <c r="AL151" i="4"/>
  <c r="AL149" i="4"/>
  <c r="AL147" i="4"/>
  <c r="AL145" i="4"/>
  <c r="AL143" i="4"/>
  <c r="AL141" i="4"/>
  <c r="AL139" i="4"/>
  <c r="AL137" i="4"/>
  <c r="AL135" i="4"/>
  <c r="AL133" i="4"/>
  <c r="AL131" i="4"/>
  <c r="AL129" i="4"/>
  <c r="AL127" i="4"/>
  <c r="AL125" i="4"/>
  <c r="AL123" i="4"/>
  <c r="AL121" i="4"/>
  <c r="AL119" i="4"/>
  <c r="AL117" i="4"/>
  <c r="AL115" i="4"/>
  <c r="AL113" i="4"/>
  <c r="AL111" i="4"/>
  <c r="AL109" i="4"/>
  <c r="AL107" i="4"/>
  <c r="AL105" i="4"/>
  <c r="AL103" i="4"/>
  <c r="AL101" i="4"/>
  <c r="AL99" i="4"/>
  <c r="AL97" i="4"/>
  <c r="AL95" i="4"/>
  <c r="AL93" i="4"/>
  <c r="AL91" i="4"/>
  <c r="AL89" i="4"/>
  <c r="AL87" i="4"/>
  <c r="AL85" i="4"/>
  <c r="AL83" i="4"/>
  <c r="AL81" i="4"/>
  <c r="AL79" i="4"/>
  <c r="AL77" i="4"/>
  <c r="AL75" i="4"/>
  <c r="AL73" i="4"/>
  <c r="AL71" i="4"/>
  <c r="AL69" i="4"/>
  <c r="AL67" i="4"/>
  <c r="AL65" i="4"/>
  <c r="AL63" i="4"/>
  <c r="AL61" i="4"/>
  <c r="AL59" i="4"/>
  <c r="AL57" i="4"/>
  <c r="AL55" i="4"/>
  <c r="AL53" i="4"/>
  <c r="AL51" i="4"/>
  <c r="AL49" i="4"/>
  <c r="AL47" i="4"/>
  <c r="AL45" i="4"/>
  <c r="AL43" i="4"/>
  <c r="AL41" i="4"/>
  <c r="AL39" i="4"/>
  <c r="AL37" i="4"/>
  <c r="AL35" i="4"/>
  <c r="AL33" i="4"/>
  <c r="AL31" i="4"/>
  <c r="AL29" i="4"/>
  <c r="AL27" i="4"/>
  <c r="AL25" i="4"/>
  <c r="AL23" i="4"/>
  <c r="AL21" i="4"/>
  <c r="AL19" i="4"/>
  <c r="AL17" i="4"/>
  <c r="AL15" i="4"/>
  <c r="AL13" i="4"/>
  <c r="AL11" i="4"/>
  <c r="AL9" i="4"/>
  <c r="AL7" i="4"/>
  <c r="AL5" i="4"/>
  <c r="AL3" i="4"/>
  <c r="S16" i="4"/>
  <c r="S15" i="4"/>
  <c r="S14" i="4"/>
  <c r="S13" i="4"/>
  <c r="S12" i="4"/>
  <c r="G1" i="6"/>
  <c r="B1" i="6"/>
  <c r="AI3" i="4" l="1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2" i="4"/>
  <c r="C2" i="6"/>
  <c r="D2" i="6"/>
  <c r="E2" i="6"/>
  <c r="F2" i="6"/>
  <c r="G2" i="6"/>
  <c r="H2" i="6"/>
  <c r="A18" i="6" l="1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Q66" i="4"/>
  <c r="AP2" i="4"/>
  <c r="AP269" i="4" l="1"/>
  <c r="AQ269" i="4"/>
  <c r="AR269" i="4"/>
  <c r="AS269" i="4"/>
  <c r="AT269" i="4"/>
  <c r="AU269" i="4"/>
  <c r="AV269" i="4"/>
  <c r="AP270" i="4"/>
  <c r="AQ270" i="4"/>
  <c r="AR270" i="4"/>
  <c r="AS270" i="4"/>
  <c r="AT270" i="4"/>
  <c r="AU270" i="4"/>
  <c r="AV270" i="4"/>
  <c r="AP271" i="4"/>
  <c r="AQ271" i="4"/>
  <c r="AR271" i="4"/>
  <c r="AS271" i="4"/>
  <c r="AT271" i="4"/>
  <c r="AU271" i="4"/>
  <c r="AV271" i="4"/>
  <c r="AP272" i="4"/>
  <c r="AQ272" i="4"/>
  <c r="AR272" i="4"/>
  <c r="AS272" i="4"/>
  <c r="AT272" i="4"/>
  <c r="AU272" i="4"/>
  <c r="AV272" i="4"/>
  <c r="AP273" i="4"/>
  <c r="AQ273" i="4"/>
  <c r="AR273" i="4"/>
  <c r="AS273" i="4"/>
  <c r="AT273" i="4"/>
  <c r="AU273" i="4"/>
  <c r="AV273" i="4"/>
  <c r="AP274" i="4"/>
  <c r="AQ274" i="4"/>
  <c r="AR274" i="4"/>
  <c r="AS274" i="4"/>
  <c r="AT274" i="4"/>
  <c r="AU274" i="4"/>
  <c r="AV274" i="4"/>
  <c r="AP275" i="4"/>
  <c r="AQ275" i="4"/>
  <c r="AR275" i="4"/>
  <c r="AS275" i="4"/>
  <c r="AT275" i="4"/>
  <c r="AU275" i="4"/>
  <c r="AV275" i="4"/>
  <c r="AP276" i="4"/>
  <c r="AQ276" i="4"/>
  <c r="AR276" i="4"/>
  <c r="AS276" i="4"/>
  <c r="AT276" i="4"/>
  <c r="AU276" i="4"/>
  <c r="AV276" i="4"/>
  <c r="AP277" i="4"/>
  <c r="AQ277" i="4"/>
  <c r="AR277" i="4"/>
  <c r="AS277" i="4"/>
  <c r="AT277" i="4"/>
  <c r="AU277" i="4"/>
  <c r="AV277" i="4"/>
  <c r="AP278" i="4"/>
  <c r="AQ278" i="4"/>
  <c r="AR278" i="4"/>
  <c r="AS278" i="4"/>
  <c r="AT278" i="4"/>
  <c r="AU278" i="4"/>
  <c r="AV278" i="4"/>
  <c r="AP279" i="4"/>
  <c r="AQ279" i="4"/>
  <c r="AR279" i="4"/>
  <c r="AS279" i="4"/>
  <c r="AT279" i="4"/>
  <c r="AU279" i="4"/>
  <c r="AV279" i="4"/>
  <c r="AP280" i="4"/>
  <c r="AQ280" i="4"/>
  <c r="AR280" i="4"/>
  <c r="AS280" i="4"/>
  <c r="AT280" i="4"/>
  <c r="AU280" i="4"/>
  <c r="AV280" i="4"/>
  <c r="AP281" i="4"/>
  <c r="AQ281" i="4"/>
  <c r="AR281" i="4"/>
  <c r="AS281" i="4"/>
  <c r="AT281" i="4"/>
  <c r="AU281" i="4"/>
  <c r="AV281" i="4"/>
  <c r="AP282" i="4"/>
  <c r="AQ282" i="4"/>
  <c r="AR282" i="4"/>
  <c r="AS282" i="4"/>
  <c r="AT282" i="4"/>
  <c r="AU282" i="4"/>
  <c r="AV282" i="4"/>
  <c r="AP283" i="4"/>
  <c r="AQ283" i="4"/>
  <c r="AR283" i="4"/>
  <c r="AS283" i="4"/>
  <c r="AT283" i="4"/>
  <c r="AU283" i="4"/>
  <c r="AV283" i="4"/>
  <c r="AV268" i="4"/>
  <c r="AU268" i="4"/>
  <c r="AT268" i="4"/>
  <c r="AS268" i="4"/>
  <c r="AR268" i="4"/>
  <c r="AQ268" i="4"/>
  <c r="AP268" i="4"/>
  <c r="AP250" i="4"/>
  <c r="AQ250" i="4"/>
  <c r="AR250" i="4"/>
  <c r="AS250" i="4"/>
  <c r="AT250" i="4"/>
  <c r="AU250" i="4"/>
  <c r="AV250" i="4"/>
  <c r="AP251" i="4"/>
  <c r="AQ251" i="4"/>
  <c r="AR251" i="4"/>
  <c r="AS251" i="4"/>
  <c r="AT251" i="4"/>
  <c r="AU251" i="4"/>
  <c r="AV251" i="4"/>
  <c r="AP252" i="4"/>
  <c r="AQ252" i="4"/>
  <c r="AR252" i="4"/>
  <c r="AS252" i="4"/>
  <c r="AT252" i="4"/>
  <c r="AU252" i="4"/>
  <c r="AV252" i="4"/>
  <c r="AP253" i="4"/>
  <c r="AQ253" i="4"/>
  <c r="AR253" i="4"/>
  <c r="AS253" i="4"/>
  <c r="AT253" i="4"/>
  <c r="AU253" i="4"/>
  <c r="AV253" i="4"/>
  <c r="AP254" i="4"/>
  <c r="AQ254" i="4"/>
  <c r="AR254" i="4"/>
  <c r="AS254" i="4"/>
  <c r="AT254" i="4"/>
  <c r="AU254" i="4"/>
  <c r="AV254" i="4"/>
  <c r="AP255" i="4"/>
  <c r="AQ255" i="4"/>
  <c r="AR255" i="4"/>
  <c r="AS255" i="4"/>
  <c r="AT255" i="4"/>
  <c r="AU255" i="4"/>
  <c r="AV255" i="4"/>
  <c r="AP256" i="4"/>
  <c r="AQ256" i="4"/>
  <c r="AR256" i="4"/>
  <c r="AS256" i="4"/>
  <c r="AT256" i="4"/>
  <c r="AU256" i="4"/>
  <c r="AV256" i="4"/>
  <c r="AP257" i="4"/>
  <c r="AQ257" i="4"/>
  <c r="AR257" i="4"/>
  <c r="AS257" i="4"/>
  <c r="AT257" i="4"/>
  <c r="AU257" i="4"/>
  <c r="AV257" i="4"/>
  <c r="AP258" i="4"/>
  <c r="AQ258" i="4"/>
  <c r="AR258" i="4"/>
  <c r="AS258" i="4"/>
  <c r="AT258" i="4"/>
  <c r="AU258" i="4"/>
  <c r="AV258" i="4"/>
  <c r="AP259" i="4"/>
  <c r="AQ259" i="4"/>
  <c r="AR259" i="4"/>
  <c r="AS259" i="4"/>
  <c r="AT259" i="4"/>
  <c r="AU259" i="4"/>
  <c r="AV259" i="4"/>
  <c r="AP260" i="4"/>
  <c r="AQ260" i="4"/>
  <c r="AR260" i="4"/>
  <c r="AS260" i="4"/>
  <c r="AT260" i="4"/>
  <c r="AU260" i="4"/>
  <c r="AV260" i="4"/>
  <c r="AP261" i="4"/>
  <c r="AQ261" i="4"/>
  <c r="AR261" i="4"/>
  <c r="AS261" i="4"/>
  <c r="AT261" i="4"/>
  <c r="AU261" i="4"/>
  <c r="AV261" i="4"/>
  <c r="AP262" i="4"/>
  <c r="AQ262" i="4"/>
  <c r="AR262" i="4"/>
  <c r="AS262" i="4"/>
  <c r="AT262" i="4"/>
  <c r="AU262" i="4"/>
  <c r="AV262" i="4"/>
  <c r="AP263" i="4"/>
  <c r="AQ263" i="4"/>
  <c r="AR263" i="4"/>
  <c r="AS263" i="4"/>
  <c r="AT263" i="4"/>
  <c r="AU263" i="4"/>
  <c r="AV263" i="4"/>
  <c r="AP264" i="4"/>
  <c r="AQ264" i="4"/>
  <c r="AR264" i="4"/>
  <c r="AS264" i="4"/>
  <c r="AT264" i="4"/>
  <c r="AU264" i="4"/>
  <c r="AV264" i="4"/>
  <c r="AV249" i="4"/>
  <c r="AU249" i="4"/>
  <c r="AT249" i="4"/>
  <c r="AS249" i="4"/>
  <c r="AR249" i="4"/>
  <c r="AQ249" i="4"/>
  <c r="AP249" i="4"/>
  <c r="AP231" i="4"/>
  <c r="AQ231" i="4"/>
  <c r="AR231" i="4"/>
  <c r="AS231" i="4"/>
  <c r="AT231" i="4"/>
  <c r="AU231" i="4"/>
  <c r="AV231" i="4"/>
  <c r="AP232" i="4"/>
  <c r="AQ232" i="4"/>
  <c r="AR232" i="4"/>
  <c r="AS232" i="4"/>
  <c r="AT232" i="4"/>
  <c r="AU232" i="4"/>
  <c r="AV232" i="4"/>
  <c r="AP233" i="4"/>
  <c r="AQ233" i="4"/>
  <c r="AR233" i="4"/>
  <c r="AS233" i="4"/>
  <c r="AT233" i="4"/>
  <c r="AU233" i="4"/>
  <c r="AV233" i="4"/>
  <c r="AP234" i="4"/>
  <c r="AQ234" i="4"/>
  <c r="AR234" i="4"/>
  <c r="AS234" i="4"/>
  <c r="AT234" i="4"/>
  <c r="AU234" i="4"/>
  <c r="AV234" i="4"/>
  <c r="AP235" i="4"/>
  <c r="AQ235" i="4"/>
  <c r="AR235" i="4"/>
  <c r="AS235" i="4"/>
  <c r="AT235" i="4"/>
  <c r="AU235" i="4"/>
  <c r="AV235" i="4"/>
  <c r="AP236" i="4"/>
  <c r="AQ236" i="4"/>
  <c r="AR236" i="4"/>
  <c r="AS236" i="4"/>
  <c r="AT236" i="4"/>
  <c r="AU236" i="4"/>
  <c r="AV236" i="4"/>
  <c r="AP237" i="4"/>
  <c r="AQ237" i="4"/>
  <c r="AR237" i="4"/>
  <c r="AS237" i="4"/>
  <c r="AT237" i="4"/>
  <c r="AU237" i="4"/>
  <c r="AV237" i="4"/>
  <c r="AP238" i="4"/>
  <c r="AQ238" i="4"/>
  <c r="AR238" i="4"/>
  <c r="AS238" i="4"/>
  <c r="AT238" i="4"/>
  <c r="AU238" i="4"/>
  <c r="AV238" i="4"/>
  <c r="AP239" i="4"/>
  <c r="AQ239" i="4"/>
  <c r="AR239" i="4"/>
  <c r="AS239" i="4"/>
  <c r="AT239" i="4"/>
  <c r="AU239" i="4"/>
  <c r="AV239" i="4"/>
  <c r="AP240" i="4"/>
  <c r="AQ240" i="4"/>
  <c r="AR240" i="4"/>
  <c r="AS240" i="4"/>
  <c r="AT240" i="4"/>
  <c r="AU240" i="4"/>
  <c r="AV240" i="4"/>
  <c r="AP241" i="4"/>
  <c r="AQ241" i="4"/>
  <c r="AR241" i="4"/>
  <c r="AS241" i="4"/>
  <c r="AT241" i="4"/>
  <c r="AU241" i="4"/>
  <c r="AV241" i="4"/>
  <c r="AP242" i="4"/>
  <c r="AQ242" i="4"/>
  <c r="AR242" i="4"/>
  <c r="AS242" i="4"/>
  <c r="AT242" i="4"/>
  <c r="AU242" i="4"/>
  <c r="AV242" i="4"/>
  <c r="AP243" i="4"/>
  <c r="AQ243" i="4"/>
  <c r="AR243" i="4"/>
  <c r="AS243" i="4"/>
  <c r="AT243" i="4"/>
  <c r="AU243" i="4"/>
  <c r="AV243" i="4"/>
  <c r="AP244" i="4"/>
  <c r="AQ244" i="4"/>
  <c r="AR244" i="4"/>
  <c r="AS244" i="4"/>
  <c r="AT244" i="4"/>
  <c r="AU244" i="4"/>
  <c r="AV244" i="4"/>
  <c r="AP245" i="4"/>
  <c r="AQ245" i="4"/>
  <c r="AR245" i="4"/>
  <c r="AS245" i="4"/>
  <c r="AT245" i="4"/>
  <c r="AU245" i="4"/>
  <c r="AV245" i="4"/>
  <c r="AV230" i="4"/>
  <c r="AU230" i="4"/>
  <c r="AT230" i="4"/>
  <c r="AS230" i="4"/>
  <c r="AR230" i="4"/>
  <c r="AQ230" i="4"/>
  <c r="AP230" i="4"/>
  <c r="AP212" i="4"/>
  <c r="AQ212" i="4"/>
  <c r="AR212" i="4"/>
  <c r="AS212" i="4"/>
  <c r="AT212" i="4"/>
  <c r="AU212" i="4"/>
  <c r="AV212" i="4"/>
  <c r="AP213" i="4"/>
  <c r="AQ213" i="4"/>
  <c r="AR213" i="4"/>
  <c r="AS213" i="4"/>
  <c r="AT213" i="4"/>
  <c r="AU213" i="4"/>
  <c r="AV213" i="4"/>
  <c r="AP214" i="4"/>
  <c r="AQ214" i="4"/>
  <c r="AR214" i="4"/>
  <c r="AS214" i="4"/>
  <c r="AT214" i="4"/>
  <c r="AU214" i="4"/>
  <c r="AV214" i="4"/>
  <c r="AP215" i="4"/>
  <c r="AQ215" i="4"/>
  <c r="AR215" i="4"/>
  <c r="AS215" i="4"/>
  <c r="AT215" i="4"/>
  <c r="AU215" i="4"/>
  <c r="AV215" i="4"/>
  <c r="AP216" i="4"/>
  <c r="AQ216" i="4"/>
  <c r="AR216" i="4"/>
  <c r="AS216" i="4"/>
  <c r="AT216" i="4"/>
  <c r="AU216" i="4"/>
  <c r="AV216" i="4"/>
  <c r="AP217" i="4"/>
  <c r="AQ217" i="4"/>
  <c r="AR217" i="4"/>
  <c r="AS217" i="4"/>
  <c r="AT217" i="4"/>
  <c r="AU217" i="4"/>
  <c r="AV217" i="4"/>
  <c r="AP218" i="4"/>
  <c r="AQ218" i="4"/>
  <c r="AR218" i="4"/>
  <c r="AS218" i="4"/>
  <c r="AT218" i="4"/>
  <c r="AU218" i="4"/>
  <c r="AV218" i="4"/>
  <c r="AP219" i="4"/>
  <c r="AQ219" i="4"/>
  <c r="AR219" i="4"/>
  <c r="AS219" i="4"/>
  <c r="AT219" i="4"/>
  <c r="AU219" i="4"/>
  <c r="AV219" i="4"/>
  <c r="AP220" i="4"/>
  <c r="AQ220" i="4"/>
  <c r="AR220" i="4"/>
  <c r="AS220" i="4"/>
  <c r="AT220" i="4"/>
  <c r="AU220" i="4"/>
  <c r="AV220" i="4"/>
  <c r="AP221" i="4"/>
  <c r="AQ221" i="4"/>
  <c r="AR221" i="4"/>
  <c r="AS221" i="4"/>
  <c r="AT221" i="4"/>
  <c r="AU221" i="4"/>
  <c r="AV221" i="4"/>
  <c r="AP222" i="4"/>
  <c r="AQ222" i="4"/>
  <c r="AR222" i="4"/>
  <c r="AS222" i="4"/>
  <c r="AT222" i="4"/>
  <c r="AU222" i="4"/>
  <c r="AV222" i="4"/>
  <c r="AP223" i="4"/>
  <c r="AQ223" i="4"/>
  <c r="AR223" i="4"/>
  <c r="AS223" i="4"/>
  <c r="AT223" i="4"/>
  <c r="AU223" i="4"/>
  <c r="AV223" i="4"/>
  <c r="AP224" i="4"/>
  <c r="AQ224" i="4"/>
  <c r="AR224" i="4"/>
  <c r="AS224" i="4"/>
  <c r="AT224" i="4"/>
  <c r="AU224" i="4"/>
  <c r="AV224" i="4"/>
  <c r="AP225" i="4"/>
  <c r="AQ225" i="4"/>
  <c r="AR225" i="4"/>
  <c r="AS225" i="4"/>
  <c r="AT225" i="4"/>
  <c r="AU225" i="4"/>
  <c r="AV225" i="4"/>
  <c r="AP226" i="4"/>
  <c r="AQ226" i="4"/>
  <c r="AR226" i="4"/>
  <c r="AS226" i="4"/>
  <c r="AT226" i="4"/>
  <c r="AU226" i="4"/>
  <c r="AV226" i="4"/>
  <c r="AV211" i="4"/>
  <c r="AU211" i="4"/>
  <c r="AT211" i="4"/>
  <c r="AS211" i="4"/>
  <c r="AR211" i="4"/>
  <c r="AQ211" i="4"/>
  <c r="AP211" i="4"/>
  <c r="AP193" i="4"/>
  <c r="AQ193" i="4"/>
  <c r="AR193" i="4"/>
  <c r="AS193" i="4"/>
  <c r="AT193" i="4"/>
  <c r="AU193" i="4"/>
  <c r="AV193" i="4"/>
  <c r="AP194" i="4"/>
  <c r="AQ194" i="4"/>
  <c r="AR194" i="4"/>
  <c r="AS194" i="4"/>
  <c r="AT194" i="4"/>
  <c r="AU194" i="4"/>
  <c r="AV194" i="4"/>
  <c r="AP195" i="4"/>
  <c r="AQ195" i="4"/>
  <c r="AR195" i="4"/>
  <c r="AS195" i="4"/>
  <c r="AT195" i="4"/>
  <c r="AU195" i="4"/>
  <c r="AV195" i="4"/>
  <c r="AP196" i="4"/>
  <c r="AQ196" i="4"/>
  <c r="AR196" i="4"/>
  <c r="AS196" i="4"/>
  <c r="AT196" i="4"/>
  <c r="AU196" i="4"/>
  <c r="AV196" i="4"/>
  <c r="AP197" i="4"/>
  <c r="AQ197" i="4"/>
  <c r="AR197" i="4"/>
  <c r="AS197" i="4"/>
  <c r="AT197" i="4"/>
  <c r="AU197" i="4"/>
  <c r="AV197" i="4"/>
  <c r="AP198" i="4"/>
  <c r="AQ198" i="4"/>
  <c r="AR198" i="4"/>
  <c r="AS198" i="4"/>
  <c r="AT198" i="4"/>
  <c r="AU198" i="4"/>
  <c r="AV198" i="4"/>
  <c r="AP199" i="4"/>
  <c r="AQ199" i="4"/>
  <c r="AR199" i="4"/>
  <c r="AS199" i="4"/>
  <c r="AT199" i="4"/>
  <c r="AU199" i="4"/>
  <c r="AV199" i="4"/>
  <c r="AP200" i="4"/>
  <c r="AQ200" i="4"/>
  <c r="AR200" i="4"/>
  <c r="AS200" i="4"/>
  <c r="AT200" i="4"/>
  <c r="AU200" i="4"/>
  <c r="AV200" i="4"/>
  <c r="AP201" i="4"/>
  <c r="AQ201" i="4"/>
  <c r="AR201" i="4"/>
  <c r="AS201" i="4"/>
  <c r="AT201" i="4"/>
  <c r="AU201" i="4"/>
  <c r="AV201" i="4"/>
  <c r="AP202" i="4"/>
  <c r="AQ202" i="4"/>
  <c r="AR202" i="4"/>
  <c r="AS202" i="4"/>
  <c r="AT202" i="4"/>
  <c r="AU202" i="4"/>
  <c r="AV202" i="4"/>
  <c r="AP203" i="4"/>
  <c r="AQ203" i="4"/>
  <c r="AR203" i="4"/>
  <c r="AS203" i="4"/>
  <c r="AT203" i="4"/>
  <c r="AU203" i="4"/>
  <c r="AV203" i="4"/>
  <c r="AP204" i="4"/>
  <c r="AQ204" i="4"/>
  <c r="AR204" i="4"/>
  <c r="AS204" i="4"/>
  <c r="AT204" i="4"/>
  <c r="AU204" i="4"/>
  <c r="AV204" i="4"/>
  <c r="AP205" i="4"/>
  <c r="AQ205" i="4"/>
  <c r="AR205" i="4"/>
  <c r="AS205" i="4"/>
  <c r="AT205" i="4"/>
  <c r="AU205" i="4"/>
  <c r="AV205" i="4"/>
  <c r="AP206" i="4"/>
  <c r="AQ206" i="4"/>
  <c r="AR206" i="4"/>
  <c r="AS206" i="4"/>
  <c r="AT206" i="4"/>
  <c r="AU206" i="4"/>
  <c r="AV206" i="4"/>
  <c r="AP207" i="4"/>
  <c r="AQ207" i="4"/>
  <c r="AR207" i="4"/>
  <c r="AS207" i="4"/>
  <c r="AT207" i="4"/>
  <c r="AU207" i="4"/>
  <c r="AV207" i="4"/>
  <c r="AV192" i="4"/>
  <c r="AU192" i="4"/>
  <c r="AT192" i="4"/>
  <c r="AS192" i="4"/>
  <c r="AR192" i="4"/>
  <c r="AQ192" i="4"/>
  <c r="AP192" i="4"/>
  <c r="AP174" i="4"/>
  <c r="AQ174" i="4"/>
  <c r="AR174" i="4"/>
  <c r="AS174" i="4"/>
  <c r="AT174" i="4"/>
  <c r="AU174" i="4"/>
  <c r="AV174" i="4"/>
  <c r="AP175" i="4"/>
  <c r="AQ175" i="4"/>
  <c r="AR175" i="4"/>
  <c r="AS175" i="4"/>
  <c r="AT175" i="4"/>
  <c r="AU175" i="4"/>
  <c r="AV175" i="4"/>
  <c r="AP176" i="4"/>
  <c r="AQ176" i="4"/>
  <c r="AR176" i="4"/>
  <c r="AS176" i="4"/>
  <c r="AT176" i="4"/>
  <c r="AU176" i="4"/>
  <c r="AV176" i="4"/>
  <c r="AP177" i="4"/>
  <c r="AQ177" i="4"/>
  <c r="AR177" i="4"/>
  <c r="AS177" i="4"/>
  <c r="AT177" i="4"/>
  <c r="AU177" i="4"/>
  <c r="AV177" i="4"/>
  <c r="AP178" i="4"/>
  <c r="AQ178" i="4"/>
  <c r="AR178" i="4"/>
  <c r="AS178" i="4"/>
  <c r="AT178" i="4"/>
  <c r="AU178" i="4"/>
  <c r="AV178" i="4"/>
  <c r="AP179" i="4"/>
  <c r="AQ179" i="4"/>
  <c r="AR179" i="4"/>
  <c r="AS179" i="4"/>
  <c r="AT179" i="4"/>
  <c r="AU179" i="4"/>
  <c r="AV179" i="4"/>
  <c r="AP180" i="4"/>
  <c r="AQ180" i="4"/>
  <c r="AR180" i="4"/>
  <c r="AS180" i="4"/>
  <c r="AT180" i="4"/>
  <c r="AU180" i="4"/>
  <c r="AV180" i="4"/>
  <c r="AP181" i="4"/>
  <c r="AQ181" i="4"/>
  <c r="AR181" i="4"/>
  <c r="AS181" i="4"/>
  <c r="AT181" i="4"/>
  <c r="AU181" i="4"/>
  <c r="AV181" i="4"/>
  <c r="AP182" i="4"/>
  <c r="AQ182" i="4"/>
  <c r="AR182" i="4"/>
  <c r="AS182" i="4"/>
  <c r="AT182" i="4"/>
  <c r="AU182" i="4"/>
  <c r="AV182" i="4"/>
  <c r="AP183" i="4"/>
  <c r="AQ183" i="4"/>
  <c r="AR183" i="4"/>
  <c r="AS183" i="4"/>
  <c r="AT183" i="4"/>
  <c r="AU183" i="4"/>
  <c r="AV183" i="4"/>
  <c r="AP184" i="4"/>
  <c r="AQ184" i="4"/>
  <c r="AR184" i="4"/>
  <c r="AS184" i="4"/>
  <c r="AT184" i="4"/>
  <c r="AU184" i="4"/>
  <c r="AV184" i="4"/>
  <c r="AP185" i="4"/>
  <c r="AQ185" i="4"/>
  <c r="AR185" i="4"/>
  <c r="AS185" i="4"/>
  <c r="AT185" i="4"/>
  <c r="AU185" i="4"/>
  <c r="AV185" i="4"/>
  <c r="AP186" i="4"/>
  <c r="AQ186" i="4"/>
  <c r="AR186" i="4"/>
  <c r="AS186" i="4"/>
  <c r="AT186" i="4"/>
  <c r="AU186" i="4"/>
  <c r="AV186" i="4"/>
  <c r="AP187" i="4"/>
  <c r="AQ187" i="4"/>
  <c r="AR187" i="4"/>
  <c r="AS187" i="4"/>
  <c r="AT187" i="4"/>
  <c r="AU187" i="4"/>
  <c r="AV187" i="4"/>
  <c r="AP188" i="4"/>
  <c r="AQ188" i="4"/>
  <c r="AR188" i="4"/>
  <c r="AS188" i="4"/>
  <c r="AT188" i="4"/>
  <c r="AU188" i="4"/>
  <c r="AV188" i="4"/>
  <c r="AV173" i="4"/>
  <c r="AU173" i="4"/>
  <c r="AT173" i="4"/>
  <c r="AS173" i="4"/>
  <c r="AR173" i="4"/>
  <c r="AQ173" i="4"/>
  <c r="AP173" i="4"/>
  <c r="AP155" i="4"/>
  <c r="AQ155" i="4"/>
  <c r="AR155" i="4"/>
  <c r="AS155" i="4"/>
  <c r="AT155" i="4"/>
  <c r="AU155" i="4"/>
  <c r="AV155" i="4"/>
  <c r="AP156" i="4"/>
  <c r="AQ156" i="4"/>
  <c r="AR156" i="4"/>
  <c r="AS156" i="4"/>
  <c r="AT156" i="4"/>
  <c r="AU156" i="4"/>
  <c r="AV156" i="4"/>
  <c r="AP157" i="4"/>
  <c r="AQ157" i="4"/>
  <c r="AR157" i="4"/>
  <c r="AS157" i="4"/>
  <c r="AT157" i="4"/>
  <c r="AU157" i="4"/>
  <c r="AV157" i="4"/>
  <c r="AP158" i="4"/>
  <c r="AQ158" i="4"/>
  <c r="AR158" i="4"/>
  <c r="AS158" i="4"/>
  <c r="AT158" i="4"/>
  <c r="AU158" i="4"/>
  <c r="AV158" i="4"/>
  <c r="AP159" i="4"/>
  <c r="AQ159" i="4"/>
  <c r="AR159" i="4"/>
  <c r="AS159" i="4"/>
  <c r="AT159" i="4"/>
  <c r="AU159" i="4"/>
  <c r="AV159" i="4"/>
  <c r="AP160" i="4"/>
  <c r="AQ160" i="4"/>
  <c r="AR160" i="4"/>
  <c r="AS160" i="4"/>
  <c r="AT160" i="4"/>
  <c r="AU160" i="4"/>
  <c r="AV160" i="4"/>
  <c r="AP161" i="4"/>
  <c r="AQ161" i="4"/>
  <c r="AR161" i="4"/>
  <c r="AS161" i="4"/>
  <c r="AT161" i="4"/>
  <c r="AU161" i="4"/>
  <c r="AV161" i="4"/>
  <c r="AP162" i="4"/>
  <c r="AQ162" i="4"/>
  <c r="AR162" i="4"/>
  <c r="AS162" i="4"/>
  <c r="AT162" i="4"/>
  <c r="AU162" i="4"/>
  <c r="AV162" i="4"/>
  <c r="AP163" i="4"/>
  <c r="AQ163" i="4"/>
  <c r="AR163" i="4"/>
  <c r="AS163" i="4"/>
  <c r="AT163" i="4"/>
  <c r="AU163" i="4"/>
  <c r="AV163" i="4"/>
  <c r="AP164" i="4"/>
  <c r="AQ164" i="4"/>
  <c r="AR164" i="4"/>
  <c r="AS164" i="4"/>
  <c r="AT164" i="4"/>
  <c r="AU164" i="4"/>
  <c r="AV164" i="4"/>
  <c r="AP165" i="4"/>
  <c r="AQ165" i="4"/>
  <c r="AR165" i="4"/>
  <c r="AS165" i="4"/>
  <c r="AT165" i="4"/>
  <c r="AU165" i="4"/>
  <c r="AV165" i="4"/>
  <c r="AP166" i="4"/>
  <c r="AQ166" i="4"/>
  <c r="AR166" i="4"/>
  <c r="AS166" i="4"/>
  <c r="AT166" i="4"/>
  <c r="AU166" i="4"/>
  <c r="AV166" i="4"/>
  <c r="AP167" i="4"/>
  <c r="AQ167" i="4"/>
  <c r="AR167" i="4"/>
  <c r="AS167" i="4"/>
  <c r="AT167" i="4"/>
  <c r="AU167" i="4"/>
  <c r="AV167" i="4"/>
  <c r="AP168" i="4"/>
  <c r="AQ168" i="4"/>
  <c r="AR168" i="4"/>
  <c r="AS168" i="4"/>
  <c r="AT168" i="4"/>
  <c r="AU168" i="4"/>
  <c r="AV168" i="4"/>
  <c r="AP169" i="4"/>
  <c r="AQ169" i="4"/>
  <c r="AR169" i="4"/>
  <c r="AS169" i="4"/>
  <c r="AT169" i="4"/>
  <c r="AU169" i="4"/>
  <c r="AV169" i="4"/>
  <c r="AV154" i="4"/>
  <c r="AU154" i="4"/>
  <c r="AT154" i="4"/>
  <c r="AS154" i="4"/>
  <c r="AR154" i="4"/>
  <c r="AQ154" i="4"/>
  <c r="AP154" i="4"/>
  <c r="AP136" i="4"/>
  <c r="AQ136" i="4"/>
  <c r="AR136" i="4"/>
  <c r="AS136" i="4"/>
  <c r="AT136" i="4"/>
  <c r="AU136" i="4"/>
  <c r="AV136" i="4"/>
  <c r="AP137" i="4"/>
  <c r="AQ137" i="4"/>
  <c r="AR137" i="4"/>
  <c r="AS137" i="4"/>
  <c r="AT137" i="4"/>
  <c r="AU137" i="4"/>
  <c r="AV137" i="4"/>
  <c r="AP138" i="4"/>
  <c r="AQ138" i="4"/>
  <c r="AR138" i="4"/>
  <c r="AS138" i="4"/>
  <c r="AT138" i="4"/>
  <c r="AU138" i="4"/>
  <c r="AV138" i="4"/>
  <c r="AP139" i="4"/>
  <c r="AQ139" i="4"/>
  <c r="AR139" i="4"/>
  <c r="AS139" i="4"/>
  <c r="AT139" i="4"/>
  <c r="AU139" i="4"/>
  <c r="AV139" i="4"/>
  <c r="AP140" i="4"/>
  <c r="AQ140" i="4"/>
  <c r="AR140" i="4"/>
  <c r="AS140" i="4"/>
  <c r="AT140" i="4"/>
  <c r="AU140" i="4"/>
  <c r="AV140" i="4"/>
  <c r="AP141" i="4"/>
  <c r="AQ141" i="4"/>
  <c r="AR141" i="4"/>
  <c r="AS141" i="4"/>
  <c r="AT141" i="4"/>
  <c r="AU141" i="4"/>
  <c r="AV141" i="4"/>
  <c r="AP142" i="4"/>
  <c r="AQ142" i="4"/>
  <c r="AR142" i="4"/>
  <c r="AS142" i="4"/>
  <c r="AT142" i="4"/>
  <c r="AU142" i="4"/>
  <c r="AV142" i="4"/>
  <c r="AP143" i="4"/>
  <c r="AQ143" i="4"/>
  <c r="AR143" i="4"/>
  <c r="AS143" i="4"/>
  <c r="AT143" i="4"/>
  <c r="AU143" i="4"/>
  <c r="AV143" i="4"/>
  <c r="AP144" i="4"/>
  <c r="AQ144" i="4"/>
  <c r="AR144" i="4"/>
  <c r="AS144" i="4"/>
  <c r="AT144" i="4"/>
  <c r="AU144" i="4"/>
  <c r="AV144" i="4"/>
  <c r="AP145" i="4"/>
  <c r="AQ145" i="4"/>
  <c r="AR145" i="4"/>
  <c r="AS145" i="4"/>
  <c r="AT145" i="4"/>
  <c r="AU145" i="4"/>
  <c r="AV145" i="4"/>
  <c r="AP146" i="4"/>
  <c r="AQ146" i="4"/>
  <c r="AR146" i="4"/>
  <c r="AS146" i="4"/>
  <c r="AT146" i="4"/>
  <c r="AU146" i="4"/>
  <c r="AV146" i="4"/>
  <c r="AP147" i="4"/>
  <c r="AQ147" i="4"/>
  <c r="AR147" i="4"/>
  <c r="AS147" i="4"/>
  <c r="AT147" i="4"/>
  <c r="AU147" i="4"/>
  <c r="AV147" i="4"/>
  <c r="AP148" i="4"/>
  <c r="AQ148" i="4"/>
  <c r="AR148" i="4"/>
  <c r="AS148" i="4"/>
  <c r="AT148" i="4"/>
  <c r="AU148" i="4"/>
  <c r="AV148" i="4"/>
  <c r="AP149" i="4"/>
  <c r="AQ149" i="4"/>
  <c r="AR149" i="4"/>
  <c r="AS149" i="4"/>
  <c r="AT149" i="4"/>
  <c r="AU149" i="4"/>
  <c r="AV149" i="4"/>
  <c r="AP150" i="4"/>
  <c r="AQ150" i="4"/>
  <c r="AR150" i="4"/>
  <c r="AS150" i="4"/>
  <c r="AT150" i="4"/>
  <c r="AU150" i="4"/>
  <c r="AV150" i="4"/>
  <c r="AV135" i="4"/>
  <c r="AU135" i="4"/>
  <c r="AT135" i="4"/>
  <c r="AS135" i="4"/>
  <c r="AR135" i="4"/>
  <c r="AQ135" i="4"/>
  <c r="AP135" i="4"/>
  <c r="AP117" i="4"/>
  <c r="AQ117" i="4"/>
  <c r="AR117" i="4"/>
  <c r="AS117" i="4"/>
  <c r="AT117" i="4"/>
  <c r="AU117" i="4"/>
  <c r="AV117" i="4"/>
  <c r="AP118" i="4"/>
  <c r="AQ118" i="4"/>
  <c r="AR118" i="4"/>
  <c r="AS118" i="4"/>
  <c r="AT118" i="4"/>
  <c r="AU118" i="4"/>
  <c r="AV118" i="4"/>
  <c r="AP119" i="4"/>
  <c r="AQ119" i="4"/>
  <c r="AR119" i="4"/>
  <c r="AS119" i="4"/>
  <c r="AT119" i="4"/>
  <c r="AU119" i="4"/>
  <c r="AV119" i="4"/>
  <c r="AP120" i="4"/>
  <c r="AQ120" i="4"/>
  <c r="AR120" i="4"/>
  <c r="AS120" i="4"/>
  <c r="AT120" i="4"/>
  <c r="AU120" i="4"/>
  <c r="AV120" i="4"/>
  <c r="AP121" i="4"/>
  <c r="AQ121" i="4"/>
  <c r="AR121" i="4"/>
  <c r="AS121" i="4"/>
  <c r="AT121" i="4"/>
  <c r="AU121" i="4"/>
  <c r="AV121" i="4"/>
  <c r="AP122" i="4"/>
  <c r="AQ122" i="4"/>
  <c r="AR122" i="4"/>
  <c r="AS122" i="4"/>
  <c r="AT122" i="4"/>
  <c r="AU122" i="4"/>
  <c r="AV122" i="4"/>
  <c r="AP123" i="4"/>
  <c r="AQ123" i="4"/>
  <c r="AR123" i="4"/>
  <c r="AS123" i="4"/>
  <c r="AT123" i="4"/>
  <c r="AU123" i="4"/>
  <c r="AV123" i="4"/>
  <c r="AP124" i="4"/>
  <c r="AQ124" i="4"/>
  <c r="AR124" i="4"/>
  <c r="AS124" i="4"/>
  <c r="AT124" i="4"/>
  <c r="AU124" i="4"/>
  <c r="AV124" i="4"/>
  <c r="AP125" i="4"/>
  <c r="AQ125" i="4"/>
  <c r="AR125" i="4"/>
  <c r="AS125" i="4"/>
  <c r="AT125" i="4"/>
  <c r="AU125" i="4"/>
  <c r="AV125" i="4"/>
  <c r="AP126" i="4"/>
  <c r="AQ126" i="4"/>
  <c r="AR126" i="4"/>
  <c r="AS126" i="4"/>
  <c r="AT126" i="4"/>
  <c r="AU126" i="4"/>
  <c r="AV126" i="4"/>
  <c r="AP127" i="4"/>
  <c r="AQ127" i="4"/>
  <c r="AR127" i="4"/>
  <c r="AS127" i="4"/>
  <c r="AT127" i="4"/>
  <c r="AU127" i="4"/>
  <c r="AV127" i="4"/>
  <c r="AP128" i="4"/>
  <c r="AQ128" i="4"/>
  <c r="AR128" i="4"/>
  <c r="AS128" i="4"/>
  <c r="AT128" i="4"/>
  <c r="AU128" i="4"/>
  <c r="AV128" i="4"/>
  <c r="AP129" i="4"/>
  <c r="AQ129" i="4"/>
  <c r="AR129" i="4"/>
  <c r="AS129" i="4"/>
  <c r="AT129" i="4"/>
  <c r="AU129" i="4"/>
  <c r="AV129" i="4"/>
  <c r="AP130" i="4"/>
  <c r="AQ130" i="4"/>
  <c r="AR130" i="4"/>
  <c r="AS130" i="4"/>
  <c r="AT130" i="4"/>
  <c r="AU130" i="4"/>
  <c r="AV130" i="4"/>
  <c r="AP131" i="4"/>
  <c r="AQ131" i="4"/>
  <c r="AR131" i="4"/>
  <c r="AS131" i="4"/>
  <c r="AT131" i="4"/>
  <c r="AU131" i="4"/>
  <c r="AV131" i="4"/>
  <c r="AV116" i="4"/>
  <c r="AU116" i="4"/>
  <c r="AT116" i="4"/>
  <c r="AS116" i="4"/>
  <c r="AR116" i="4"/>
  <c r="AQ116" i="4"/>
  <c r="AP116" i="4"/>
  <c r="AP98" i="4"/>
  <c r="AQ98" i="4"/>
  <c r="AR98" i="4"/>
  <c r="AS98" i="4"/>
  <c r="AT98" i="4"/>
  <c r="AU98" i="4"/>
  <c r="AV98" i="4"/>
  <c r="AP99" i="4"/>
  <c r="AQ99" i="4"/>
  <c r="AR99" i="4"/>
  <c r="AS99" i="4"/>
  <c r="AT99" i="4"/>
  <c r="AU99" i="4"/>
  <c r="AV99" i="4"/>
  <c r="AP100" i="4"/>
  <c r="AQ100" i="4"/>
  <c r="AR100" i="4"/>
  <c r="AS100" i="4"/>
  <c r="AT100" i="4"/>
  <c r="AU100" i="4"/>
  <c r="AV100" i="4"/>
  <c r="AP101" i="4"/>
  <c r="AQ101" i="4"/>
  <c r="AR101" i="4"/>
  <c r="AS101" i="4"/>
  <c r="AT101" i="4"/>
  <c r="AU101" i="4"/>
  <c r="AV101" i="4"/>
  <c r="AP102" i="4"/>
  <c r="AQ102" i="4"/>
  <c r="AR102" i="4"/>
  <c r="AS102" i="4"/>
  <c r="AT102" i="4"/>
  <c r="AU102" i="4"/>
  <c r="AV102" i="4"/>
  <c r="AP103" i="4"/>
  <c r="AQ103" i="4"/>
  <c r="AR103" i="4"/>
  <c r="AS103" i="4"/>
  <c r="AT103" i="4"/>
  <c r="AU103" i="4"/>
  <c r="AV103" i="4"/>
  <c r="AP104" i="4"/>
  <c r="AQ104" i="4"/>
  <c r="AR104" i="4"/>
  <c r="AS104" i="4"/>
  <c r="AT104" i="4"/>
  <c r="AU104" i="4"/>
  <c r="AV104" i="4"/>
  <c r="AP105" i="4"/>
  <c r="AQ105" i="4"/>
  <c r="AR105" i="4"/>
  <c r="AS105" i="4"/>
  <c r="AT105" i="4"/>
  <c r="AU105" i="4"/>
  <c r="AV105" i="4"/>
  <c r="AP106" i="4"/>
  <c r="AQ106" i="4"/>
  <c r="AR106" i="4"/>
  <c r="AS106" i="4"/>
  <c r="AT106" i="4"/>
  <c r="AU106" i="4"/>
  <c r="AV106" i="4"/>
  <c r="AP107" i="4"/>
  <c r="AQ107" i="4"/>
  <c r="AR107" i="4"/>
  <c r="AS107" i="4"/>
  <c r="AT107" i="4"/>
  <c r="AU107" i="4"/>
  <c r="AV107" i="4"/>
  <c r="AP108" i="4"/>
  <c r="AQ108" i="4"/>
  <c r="AR108" i="4"/>
  <c r="AS108" i="4"/>
  <c r="AT108" i="4"/>
  <c r="AU108" i="4"/>
  <c r="AV108" i="4"/>
  <c r="AP109" i="4"/>
  <c r="AQ109" i="4"/>
  <c r="AR109" i="4"/>
  <c r="AS109" i="4"/>
  <c r="AT109" i="4"/>
  <c r="AU109" i="4"/>
  <c r="AV109" i="4"/>
  <c r="AP110" i="4"/>
  <c r="AQ110" i="4"/>
  <c r="AR110" i="4"/>
  <c r="AS110" i="4"/>
  <c r="AT110" i="4"/>
  <c r="AU110" i="4"/>
  <c r="AV110" i="4"/>
  <c r="AP111" i="4"/>
  <c r="AQ111" i="4"/>
  <c r="AR111" i="4"/>
  <c r="AS111" i="4"/>
  <c r="AT111" i="4"/>
  <c r="AU111" i="4"/>
  <c r="AV111" i="4"/>
  <c r="AP112" i="4"/>
  <c r="AQ112" i="4"/>
  <c r="AR112" i="4"/>
  <c r="AS112" i="4"/>
  <c r="AT112" i="4"/>
  <c r="AU112" i="4"/>
  <c r="AV112" i="4"/>
  <c r="AV97" i="4"/>
  <c r="AU97" i="4"/>
  <c r="AT97" i="4"/>
  <c r="AS97" i="4"/>
  <c r="AR97" i="4"/>
  <c r="AQ97" i="4"/>
  <c r="AP97" i="4"/>
  <c r="AO267" i="4"/>
  <c r="AO248" i="4"/>
  <c r="AO229" i="4"/>
  <c r="AO210" i="4"/>
  <c r="AO191" i="4"/>
  <c r="AP89" i="4"/>
  <c r="AQ89" i="4"/>
  <c r="AR89" i="4"/>
  <c r="AS89" i="4"/>
  <c r="AT89" i="4"/>
  <c r="AU89" i="4"/>
  <c r="AV89" i="4"/>
  <c r="AP90" i="4"/>
  <c r="AQ90" i="4"/>
  <c r="AR90" i="4"/>
  <c r="AS90" i="4"/>
  <c r="AT90" i="4"/>
  <c r="AU90" i="4"/>
  <c r="AV90" i="4"/>
  <c r="AP91" i="4"/>
  <c r="AQ91" i="4"/>
  <c r="AR91" i="4"/>
  <c r="AS91" i="4"/>
  <c r="AT91" i="4"/>
  <c r="AU91" i="4"/>
  <c r="AV91" i="4"/>
  <c r="AP92" i="4"/>
  <c r="AQ92" i="4"/>
  <c r="AR92" i="4"/>
  <c r="AS92" i="4"/>
  <c r="AT92" i="4"/>
  <c r="AU92" i="4"/>
  <c r="AV92" i="4"/>
  <c r="AP93" i="4"/>
  <c r="AQ93" i="4"/>
  <c r="AR93" i="4"/>
  <c r="AS93" i="4"/>
  <c r="AT93" i="4"/>
  <c r="AU93" i="4"/>
  <c r="AV93" i="4"/>
  <c r="AP70" i="4"/>
  <c r="AQ70" i="4"/>
  <c r="AR70" i="4"/>
  <c r="AS70" i="4"/>
  <c r="AT70" i="4"/>
  <c r="AU70" i="4"/>
  <c r="AV70" i="4"/>
  <c r="AP71" i="4"/>
  <c r="AQ71" i="4"/>
  <c r="AR71" i="4"/>
  <c r="AS71" i="4"/>
  <c r="AT71" i="4"/>
  <c r="AU71" i="4"/>
  <c r="AV71" i="4"/>
  <c r="AP72" i="4"/>
  <c r="AQ72" i="4"/>
  <c r="AR72" i="4"/>
  <c r="AS72" i="4"/>
  <c r="AT72" i="4"/>
  <c r="AU72" i="4"/>
  <c r="AV72" i="4"/>
  <c r="AP73" i="4"/>
  <c r="AQ73" i="4"/>
  <c r="AR73" i="4"/>
  <c r="AS73" i="4"/>
  <c r="AT73" i="4"/>
  <c r="AU73" i="4"/>
  <c r="AV73" i="4"/>
  <c r="AP74" i="4"/>
  <c r="AQ74" i="4"/>
  <c r="AR74" i="4"/>
  <c r="AS74" i="4"/>
  <c r="AT74" i="4"/>
  <c r="AU74" i="4"/>
  <c r="AV74" i="4"/>
  <c r="AP51" i="4"/>
  <c r="AQ51" i="4"/>
  <c r="AR51" i="4"/>
  <c r="AS51" i="4"/>
  <c r="AT51" i="4"/>
  <c r="AU51" i="4"/>
  <c r="AV51" i="4"/>
  <c r="AP52" i="4"/>
  <c r="AQ52" i="4"/>
  <c r="AR52" i="4"/>
  <c r="AS52" i="4"/>
  <c r="AT52" i="4"/>
  <c r="AU52" i="4"/>
  <c r="AV52" i="4"/>
  <c r="AP53" i="4"/>
  <c r="AQ53" i="4"/>
  <c r="AR53" i="4"/>
  <c r="AS53" i="4"/>
  <c r="AT53" i="4"/>
  <c r="AU53" i="4"/>
  <c r="AV53" i="4"/>
  <c r="AP54" i="4"/>
  <c r="AQ54" i="4"/>
  <c r="AR54" i="4"/>
  <c r="AS54" i="4"/>
  <c r="AT54" i="4"/>
  <c r="AU54" i="4"/>
  <c r="AV54" i="4"/>
  <c r="AP55" i="4"/>
  <c r="AQ55" i="4"/>
  <c r="AR55" i="4"/>
  <c r="AS55" i="4"/>
  <c r="AT55" i="4"/>
  <c r="AU55" i="4"/>
  <c r="AV55" i="4"/>
  <c r="AP32" i="4"/>
  <c r="AQ32" i="4"/>
  <c r="AR32" i="4"/>
  <c r="AS32" i="4"/>
  <c r="AT32" i="4"/>
  <c r="AU32" i="4"/>
  <c r="AV32" i="4"/>
  <c r="AP33" i="4"/>
  <c r="AQ33" i="4"/>
  <c r="AR33" i="4"/>
  <c r="AS33" i="4"/>
  <c r="AT33" i="4"/>
  <c r="AU33" i="4"/>
  <c r="AV33" i="4"/>
  <c r="AP34" i="4"/>
  <c r="AQ34" i="4"/>
  <c r="AR34" i="4"/>
  <c r="AS34" i="4"/>
  <c r="AT34" i="4"/>
  <c r="AU34" i="4"/>
  <c r="AV34" i="4"/>
  <c r="AP35" i="4"/>
  <c r="AQ35" i="4"/>
  <c r="AR35" i="4"/>
  <c r="AS35" i="4"/>
  <c r="AT35" i="4"/>
  <c r="AU35" i="4"/>
  <c r="AV35" i="4"/>
  <c r="AP36" i="4"/>
  <c r="AQ36" i="4"/>
  <c r="AR36" i="4"/>
  <c r="AS36" i="4"/>
  <c r="AT36" i="4"/>
  <c r="AU36" i="4"/>
  <c r="AV36" i="4"/>
  <c r="AT17" i="4"/>
  <c r="AP13" i="4"/>
  <c r="AQ13" i="4"/>
  <c r="AR13" i="4"/>
  <c r="AS13" i="4"/>
  <c r="AT13" i="4"/>
  <c r="AU13" i="4"/>
  <c r="AV13" i="4"/>
  <c r="AP14" i="4"/>
  <c r="AQ14" i="4"/>
  <c r="AR14" i="4"/>
  <c r="AS14" i="4"/>
  <c r="AT14" i="4"/>
  <c r="AU14" i="4"/>
  <c r="AV14" i="4"/>
  <c r="AP15" i="4"/>
  <c r="AQ15" i="4"/>
  <c r="AR15" i="4"/>
  <c r="AS15" i="4"/>
  <c r="AT15" i="4"/>
  <c r="AU15" i="4"/>
  <c r="AV15" i="4"/>
  <c r="AP16" i="4"/>
  <c r="AQ16" i="4"/>
  <c r="AR16" i="4"/>
  <c r="AS16" i="4"/>
  <c r="AT16" i="4"/>
  <c r="AU16" i="4"/>
  <c r="AV16" i="4"/>
  <c r="AP17" i="4"/>
  <c r="AQ17" i="4"/>
  <c r="AR17" i="4"/>
  <c r="AS17" i="4"/>
  <c r="AU17" i="4"/>
  <c r="AV17" i="4"/>
  <c r="AP79" i="4"/>
  <c r="AQ79" i="4"/>
  <c r="AR79" i="4"/>
  <c r="AS79" i="4"/>
  <c r="AT79" i="4"/>
  <c r="AU79" i="4"/>
  <c r="AV79" i="4"/>
  <c r="AP80" i="4"/>
  <c r="AQ80" i="4"/>
  <c r="AR80" i="4"/>
  <c r="AS80" i="4"/>
  <c r="AT80" i="4"/>
  <c r="AU80" i="4"/>
  <c r="AV80" i="4"/>
  <c r="AP81" i="4"/>
  <c r="AQ81" i="4"/>
  <c r="AR81" i="4"/>
  <c r="AS81" i="4"/>
  <c r="AT81" i="4"/>
  <c r="AU81" i="4"/>
  <c r="AV81" i="4"/>
  <c r="AP82" i="4"/>
  <c r="AQ82" i="4"/>
  <c r="AR82" i="4"/>
  <c r="AS82" i="4"/>
  <c r="AT82" i="4"/>
  <c r="AU82" i="4"/>
  <c r="AV82" i="4"/>
  <c r="AP83" i="4"/>
  <c r="AQ83" i="4"/>
  <c r="AR83" i="4"/>
  <c r="AS83" i="4"/>
  <c r="AT83" i="4"/>
  <c r="AU83" i="4"/>
  <c r="AV83" i="4"/>
  <c r="AP84" i="4"/>
  <c r="AQ84" i="4"/>
  <c r="AR84" i="4"/>
  <c r="AS84" i="4"/>
  <c r="AT84" i="4"/>
  <c r="AU84" i="4"/>
  <c r="AV84" i="4"/>
  <c r="AP85" i="4"/>
  <c r="AQ85" i="4"/>
  <c r="AR85" i="4"/>
  <c r="AS85" i="4"/>
  <c r="AT85" i="4"/>
  <c r="AU85" i="4"/>
  <c r="AV85" i="4"/>
  <c r="AP86" i="4"/>
  <c r="AQ86" i="4"/>
  <c r="AR86" i="4"/>
  <c r="AS86" i="4"/>
  <c r="AT86" i="4"/>
  <c r="AU86" i="4"/>
  <c r="AV86" i="4"/>
  <c r="AP87" i="4"/>
  <c r="AQ87" i="4"/>
  <c r="AR87" i="4"/>
  <c r="AS87" i="4"/>
  <c r="AT87" i="4"/>
  <c r="AU87" i="4"/>
  <c r="AV87" i="4"/>
  <c r="AP88" i="4"/>
  <c r="AQ88" i="4"/>
  <c r="AR88" i="4"/>
  <c r="AS88" i="4"/>
  <c r="AT88" i="4"/>
  <c r="AU88" i="4"/>
  <c r="AV88" i="4"/>
  <c r="AV78" i="4"/>
  <c r="AU78" i="4"/>
  <c r="AT78" i="4"/>
  <c r="AS78" i="4"/>
  <c r="AR78" i="4"/>
  <c r="AQ78" i="4"/>
  <c r="AP78" i="4"/>
  <c r="AP60" i="4"/>
  <c r="AQ60" i="4"/>
  <c r="AR60" i="4"/>
  <c r="AS60" i="4"/>
  <c r="AT60" i="4"/>
  <c r="AU60" i="4"/>
  <c r="AV60" i="4"/>
  <c r="AP61" i="4"/>
  <c r="AQ61" i="4"/>
  <c r="AR61" i="4"/>
  <c r="AS61" i="4"/>
  <c r="AT61" i="4"/>
  <c r="AU61" i="4"/>
  <c r="AV61" i="4"/>
  <c r="AP62" i="4"/>
  <c r="AQ62" i="4"/>
  <c r="AR62" i="4"/>
  <c r="AS62" i="4"/>
  <c r="AT62" i="4"/>
  <c r="AU62" i="4"/>
  <c r="AV62" i="4"/>
  <c r="AP63" i="4"/>
  <c r="AQ63" i="4"/>
  <c r="AR63" i="4"/>
  <c r="AS63" i="4"/>
  <c r="AT63" i="4"/>
  <c r="AU63" i="4"/>
  <c r="AV63" i="4"/>
  <c r="AP64" i="4"/>
  <c r="AQ64" i="4"/>
  <c r="AR64" i="4"/>
  <c r="AS64" i="4"/>
  <c r="AT64" i="4"/>
  <c r="AU64" i="4"/>
  <c r="AV64" i="4"/>
  <c r="AP65" i="4"/>
  <c r="AQ65" i="4"/>
  <c r="AR65" i="4"/>
  <c r="AS65" i="4"/>
  <c r="AT65" i="4"/>
  <c r="AU65" i="4"/>
  <c r="AV65" i="4"/>
  <c r="AP66" i="4"/>
  <c r="AR66" i="4"/>
  <c r="AS66" i="4"/>
  <c r="AT66" i="4"/>
  <c r="AU66" i="4"/>
  <c r="AV66" i="4"/>
  <c r="AP67" i="4"/>
  <c r="AQ67" i="4"/>
  <c r="AR67" i="4"/>
  <c r="AS67" i="4"/>
  <c r="AT67" i="4"/>
  <c r="AU67" i="4"/>
  <c r="AV67" i="4"/>
  <c r="AP68" i="4"/>
  <c r="AQ68" i="4"/>
  <c r="AR68" i="4"/>
  <c r="AS68" i="4"/>
  <c r="AT68" i="4"/>
  <c r="AU68" i="4"/>
  <c r="AV68" i="4"/>
  <c r="AP69" i="4"/>
  <c r="AQ69" i="4"/>
  <c r="AR69" i="4"/>
  <c r="AS69" i="4"/>
  <c r="AT69" i="4"/>
  <c r="AU69" i="4"/>
  <c r="AV69" i="4"/>
  <c r="AV59" i="4"/>
  <c r="AU59" i="4"/>
  <c r="AT59" i="4"/>
  <c r="AS59" i="4"/>
  <c r="AR59" i="4"/>
  <c r="AQ59" i="4"/>
  <c r="AP59" i="4"/>
  <c r="AP41" i="4"/>
  <c r="AQ41" i="4"/>
  <c r="AR41" i="4"/>
  <c r="AS41" i="4"/>
  <c r="AT41" i="4"/>
  <c r="AU41" i="4"/>
  <c r="AV41" i="4"/>
  <c r="AP42" i="4"/>
  <c r="AQ42" i="4"/>
  <c r="AR42" i="4"/>
  <c r="AS42" i="4"/>
  <c r="AT42" i="4"/>
  <c r="AU42" i="4"/>
  <c r="AV42" i="4"/>
  <c r="AP43" i="4"/>
  <c r="AQ43" i="4"/>
  <c r="AR43" i="4"/>
  <c r="AS43" i="4"/>
  <c r="AT43" i="4"/>
  <c r="AU43" i="4"/>
  <c r="AV43" i="4"/>
  <c r="AP44" i="4"/>
  <c r="AQ44" i="4"/>
  <c r="AR44" i="4"/>
  <c r="AS44" i="4"/>
  <c r="AT44" i="4"/>
  <c r="AU44" i="4"/>
  <c r="AV44" i="4"/>
  <c r="AP45" i="4"/>
  <c r="AQ45" i="4"/>
  <c r="AR45" i="4"/>
  <c r="AS45" i="4"/>
  <c r="AT45" i="4"/>
  <c r="AU45" i="4"/>
  <c r="AV45" i="4"/>
  <c r="AP46" i="4"/>
  <c r="AQ46" i="4"/>
  <c r="AR46" i="4"/>
  <c r="AS46" i="4"/>
  <c r="AT46" i="4"/>
  <c r="AU46" i="4"/>
  <c r="AV46" i="4"/>
  <c r="AP47" i="4"/>
  <c r="AQ47" i="4"/>
  <c r="AR47" i="4"/>
  <c r="AS47" i="4"/>
  <c r="AT47" i="4"/>
  <c r="AU47" i="4"/>
  <c r="AV47" i="4"/>
  <c r="AP48" i="4"/>
  <c r="AQ48" i="4"/>
  <c r="AR48" i="4"/>
  <c r="AS48" i="4"/>
  <c r="AT48" i="4"/>
  <c r="AU48" i="4"/>
  <c r="AV48" i="4"/>
  <c r="AP49" i="4"/>
  <c r="AQ49" i="4"/>
  <c r="AR49" i="4"/>
  <c r="AS49" i="4"/>
  <c r="AT49" i="4"/>
  <c r="AU49" i="4"/>
  <c r="AV49" i="4"/>
  <c r="AP50" i="4"/>
  <c r="AQ50" i="4"/>
  <c r="AR50" i="4"/>
  <c r="AS50" i="4"/>
  <c r="AT50" i="4"/>
  <c r="AU50" i="4"/>
  <c r="AV50" i="4"/>
  <c r="AV40" i="4"/>
  <c r="AU40" i="4"/>
  <c r="AT40" i="4"/>
  <c r="AS40" i="4"/>
  <c r="AR40" i="4"/>
  <c r="AQ40" i="4"/>
  <c r="AP40" i="4"/>
  <c r="AO172" i="4"/>
  <c r="AO153" i="4"/>
  <c r="AO134" i="4"/>
  <c r="AO115" i="4"/>
  <c r="AO96" i="4"/>
  <c r="AO77" i="4"/>
  <c r="AO58" i="4"/>
  <c r="AO39" i="4"/>
  <c r="AO20" i="4"/>
  <c r="AP22" i="4"/>
  <c r="AQ22" i="4"/>
  <c r="AR22" i="4"/>
  <c r="AS22" i="4"/>
  <c r="AT22" i="4"/>
  <c r="AU22" i="4"/>
  <c r="AV22" i="4"/>
  <c r="AP23" i="4"/>
  <c r="AQ23" i="4"/>
  <c r="AR23" i="4"/>
  <c r="AS23" i="4"/>
  <c r="AT23" i="4"/>
  <c r="AU23" i="4"/>
  <c r="AV23" i="4"/>
  <c r="AP24" i="4"/>
  <c r="AQ24" i="4"/>
  <c r="AR24" i="4"/>
  <c r="AS24" i="4"/>
  <c r="AT24" i="4"/>
  <c r="AU24" i="4"/>
  <c r="AV24" i="4"/>
  <c r="AP25" i="4"/>
  <c r="AQ25" i="4"/>
  <c r="AR25" i="4"/>
  <c r="AS25" i="4"/>
  <c r="AT25" i="4"/>
  <c r="AU25" i="4"/>
  <c r="AV25" i="4"/>
  <c r="AP26" i="4"/>
  <c r="AQ26" i="4"/>
  <c r="AR26" i="4"/>
  <c r="AS26" i="4"/>
  <c r="AT26" i="4"/>
  <c r="AU26" i="4"/>
  <c r="AV26" i="4"/>
  <c r="AP27" i="4"/>
  <c r="AQ27" i="4"/>
  <c r="AR27" i="4"/>
  <c r="AS27" i="4"/>
  <c r="AT27" i="4"/>
  <c r="AU27" i="4"/>
  <c r="AV27" i="4"/>
  <c r="AP28" i="4"/>
  <c r="AQ28" i="4"/>
  <c r="AR28" i="4"/>
  <c r="AS28" i="4"/>
  <c r="AT28" i="4"/>
  <c r="AU28" i="4"/>
  <c r="AV28" i="4"/>
  <c r="AP29" i="4"/>
  <c r="AQ29" i="4"/>
  <c r="AR29" i="4"/>
  <c r="AS29" i="4"/>
  <c r="AT29" i="4"/>
  <c r="AU29" i="4"/>
  <c r="AV29" i="4"/>
  <c r="AP30" i="4"/>
  <c r="AQ30" i="4"/>
  <c r="AR30" i="4"/>
  <c r="AS30" i="4"/>
  <c r="AT30" i="4"/>
  <c r="AU30" i="4"/>
  <c r="AV30" i="4"/>
  <c r="AP31" i="4"/>
  <c r="AQ31" i="4"/>
  <c r="AR31" i="4"/>
  <c r="AS31" i="4"/>
  <c r="AT31" i="4"/>
  <c r="AU31" i="4"/>
  <c r="AV31" i="4"/>
  <c r="AV21" i="4"/>
  <c r="AU21" i="4"/>
  <c r="AT21" i="4"/>
  <c r="AS21" i="4"/>
  <c r="AR21" i="4"/>
  <c r="AQ21" i="4"/>
  <c r="AP21" i="4"/>
  <c r="AR3" i="4"/>
  <c r="AS3" i="4"/>
  <c r="AT3" i="4"/>
  <c r="AU3" i="4"/>
  <c r="AV3" i="4"/>
  <c r="AR4" i="4"/>
  <c r="AS4" i="4"/>
  <c r="AT4" i="4"/>
  <c r="AU4" i="4"/>
  <c r="AV4" i="4"/>
  <c r="AR5" i="4"/>
  <c r="AT5" i="4"/>
  <c r="AU5" i="4"/>
  <c r="AV5" i="4"/>
  <c r="AR6" i="4"/>
  <c r="AS6" i="4"/>
  <c r="AT6" i="4"/>
  <c r="AU6" i="4"/>
  <c r="AV6" i="4"/>
  <c r="AR7" i="4"/>
  <c r="AS7" i="4"/>
  <c r="AT7" i="4"/>
  <c r="AU7" i="4"/>
  <c r="AV7" i="4"/>
  <c r="AR8" i="4"/>
  <c r="AS8" i="4"/>
  <c r="AT8" i="4"/>
  <c r="AU8" i="4"/>
  <c r="AV8" i="4"/>
  <c r="AR9" i="4"/>
  <c r="AS9" i="4"/>
  <c r="AT9" i="4"/>
  <c r="AU9" i="4"/>
  <c r="AV9" i="4"/>
  <c r="AR10" i="4"/>
  <c r="AS10" i="4"/>
  <c r="AT10" i="4"/>
  <c r="AU10" i="4"/>
  <c r="AV10" i="4"/>
  <c r="AR11" i="4"/>
  <c r="AS11" i="4"/>
  <c r="AT11" i="4"/>
  <c r="AU11" i="4"/>
  <c r="AV11" i="4"/>
  <c r="AR12" i="4"/>
  <c r="AS12" i="4"/>
  <c r="AT12" i="4"/>
  <c r="AU12" i="4"/>
  <c r="AV12" i="4"/>
  <c r="AV2" i="4"/>
  <c r="AU2" i="4"/>
  <c r="AT2" i="4"/>
  <c r="AS2" i="4"/>
  <c r="AR2" i="4"/>
  <c r="AQ3" i="4"/>
  <c r="AQ4" i="4"/>
  <c r="AQ5" i="4"/>
  <c r="AQ6" i="4"/>
  <c r="AQ7" i="4"/>
  <c r="AQ8" i="4"/>
  <c r="AQ9" i="4"/>
  <c r="AQ10" i="4"/>
  <c r="AQ11" i="4"/>
  <c r="AQ12" i="4"/>
  <c r="AQ2" i="4"/>
  <c r="AP3" i="4"/>
  <c r="AP4" i="4"/>
  <c r="AP5" i="4"/>
  <c r="AP6" i="4"/>
  <c r="AP7" i="4"/>
  <c r="AP8" i="4"/>
  <c r="AP9" i="4"/>
  <c r="AP10" i="4"/>
  <c r="AP11" i="4"/>
  <c r="AP12" i="4"/>
  <c r="S2" i="4"/>
  <c r="AO1" i="4"/>
  <c r="S3" i="4"/>
  <c r="S4" i="4"/>
  <c r="S5" i="4"/>
  <c r="S6" i="4"/>
  <c r="S7" i="4"/>
  <c r="S8" i="4"/>
  <c r="S9" i="4"/>
  <c r="S10" i="4"/>
  <c r="S11" i="4"/>
  <c r="AW257" i="4" l="1"/>
  <c r="AQ265" i="4"/>
  <c r="AQ246" i="4"/>
  <c r="AP208" i="4"/>
  <c r="AT151" i="4"/>
  <c r="AP132" i="4"/>
  <c r="AW252" i="4"/>
  <c r="AT208" i="4"/>
  <c r="AV284" i="4"/>
  <c r="AW281" i="4"/>
  <c r="AW262" i="4"/>
  <c r="AV265" i="4"/>
  <c r="AW256" i="4"/>
  <c r="AV246" i="4"/>
  <c r="AW216" i="4"/>
  <c r="AW212" i="4"/>
  <c r="AW202" i="4"/>
  <c r="AW198" i="4"/>
  <c r="AW194" i="4"/>
  <c r="AW186" i="4"/>
  <c r="AQ151" i="4"/>
  <c r="AT132" i="4"/>
  <c r="AW276" i="4"/>
  <c r="AU284" i="4"/>
  <c r="AW283" i="4"/>
  <c r="AW279" i="4"/>
  <c r="AW277" i="4"/>
  <c r="AW275" i="4"/>
  <c r="AW273" i="4"/>
  <c r="AT284" i="4"/>
  <c r="AR284" i="4"/>
  <c r="AW271" i="4"/>
  <c r="AW272" i="4"/>
  <c r="AW282" i="4"/>
  <c r="AW280" i="4"/>
  <c r="AW278" i="4"/>
  <c r="AW274" i="4"/>
  <c r="AW270" i="4"/>
  <c r="AW269" i="4"/>
  <c r="AW261" i="4"/>
  <c r="AW253" i="4"/>
  <c r="AU265" i="4"/>
  <c r="AW264" i="4"/>
  <c r="AT265" i="4"/>
  <c r="AR265" i="4"/>
  <c r="AW260" i="4"/>
  <c r="AW258" i="4"/>
  <c r="AW263" i="4"/>
  <c r="AW259" i="4"/>
  <c r="AW255" i="4"/>
  <c r="AW254" i="4"/>
  <c r="AW251" i="4"/>
  <c r="AW250" i="4"/>
  <c r="AU246" i="4"/>
  <c r="AW234" i="4"/>
  <c r="AW245" i="4"/>
  <c r="AW241" i="4"/>
  <c r="AW244" i="4"/>
  <c r="AT246" i="4"/>
  <c r="AW240" i="4"/>
  <c r="AW236" i="4"/>
  <c r="AR246" i="4"/>
  <c r="AW238" i="4"/>
  <c r="AW242" i="4"/>
  <c r="AW232" i="4"/>
  <c r="AW243" i="4"/>
  <c r="AW239" i="4"/>
  <c r="AW237" i="4"/>
  <c r="AW235" i="4"/>
  <c r="AW233" i="4"/>
  <c r="AW231" i="4"/>
  <c r="AV227" i="4"/>
  <c r="AW220" i="4"/>
  <c r="AT227" i="4"/>
  <c r="AW225" i="4"/>
  <c r="AW221" i="4"/>
  <c r="AW223" i="4"/>
  <c r="AW219" i="4"/>
  <c r="AW217" i="4"/>
  <c r="AW215" i="4"/>
  <c r="AW213" i="4"/>
  <c r="AW226" i="4"/>
  <c r="AW224" i="4"/>
  <c r="AW222" i="4"/>
  <c r="AW218" i="4"/>
  <c r="AW214" i="4"/>
  <c r="AV208" i="4"/>
  <c r="AW204" i="4"/>
  <c r="AW200" i="4"/>
  <c r="AW196" i="4"/>
  <c r="AU208" i="4"/>
  <c r="AW206" i="4"/>
  <c r="AW205" i="4"/>
  <c r="AW207" i="4"/>
  <c r="AW203" i="4"/>
  <c r="AW201" i="4"/>
  <c r="AW199" i="4"/>
  <c r="AW197" i="4"/>
  <c r="AW195" i="4"/>
  <c r="AW193" i="4"/>
  <c r="AW185" i="4"/>
  <c r="AW188" i="4"/>
  <c r="AW184" i="4"/>
  <c r="AW187" i="4"/>
  <c r="AW166" i="4"/>
  <c r="AU151" i="4"/>
  <c r="AP151" i="4"/>
  <c r="AV132" i="4"/>
  <c r="AS132" i="4"/>
  <c r="AW130" i="4"/>
  <c r="AQ132" i="4"/>
  <c r="AS284" i="4"/>
  <c r="AQ284" i="4"/>
  <c r="AS265" i="4"/>
  <c r="AS246" i="4"/>
  <c r="AR227" i="4"/>
  <c r="AQ227" i="4"/>
  <c r="AU227" i="4"/>
  <c r="AS227" i="4"/>
  <c r="AQ208" i="4"/>
  <c r="AR208" i="4"/>
  <c r="AS208" i="4"/>
  <c r="AW168" i="4"/>
  <c r="AW169" i="4"/>
  <c r="AW167" i="4"/>
  <c r="AW165" i="4"/>
  <c r="AV151" i="4"/>
  <c r="AW150" i="4"/>
  <c r="AW146" i="4"/>
  <c r="AS151" i="4"/>
  <c r="AW147" i="4"/>
  <c r="AR151" i="4"/>
  <c r="AW148" i="4"/>
  <c r="AW149" i="4"/>
  <c r="AU132" i="4"/>
  <c r="AW129" i="4"/>
  <c r="AR132" i="4"/>
  <c r="AW131" i="4"/>
  <c r="AW127" i="4"/>
  <c r="AW128" i="4"/>
  <c r="AW109" i="4"/>
  <c r="AW111" i="4"/>
  <c r="AW112" i="4"/>
  <c r="AW110" i="4"/>
  <c r="AW108" i="4"/>
  <c r="C33" i="4"/>
  <c r="H35" i="4"/>
  <c r="C34" i="4"/>
  <c r="F33" i="4"/>
  <c r="G34" i="4"/>
  <c r="G33" i="4"/>
  <c r="B36" i="4"/>
  <c r="B32" i="4"/>
  <c r="H34" i="4"/>
  <c r="F36" i="4"/>
  <c r="F35" i="4"/>
  <c r="C36" i="4"/>
  <c r="C32" i="4"/>
  <c r="H32" i="4"/>
  <c r="G35" i="4"/>
  <c r="G32" i="4"/>
  <c r="F32" i="4"/>
  <c r="F34" i="4"/>
  <c r="E33" i="4"/>
  <c r="E35" i="4"/>
  <c r="E36" i="4"/>
  <c r="E32" i="4"/>
  <c r="E34" i="4"/>
  <c r="D35" i="4"/>
  <c r="D33" i="4"/>
  <c r="D34" i="4"/>
  <c r="D36" i="4"/>
  <c r="D32" i="4"/>
  <c r="C35" i="4"/>
  <c r="B33" i="4"/>
  <c r="H33" i="4"/>
  <c r="H36" i="4"/>
  <c r="G36" i="4"/>
  <c r="B34" i="4"/>
  <c r="B35" i="4"/>
  <c r="AW89" i="4"/>
  <c r="AW91" i="4"/>
  <c r="AW90" i="4"/>
  <c r="AW92" i="4"/>
  <c r="AW93" i="4"/>
  <c r="AW70" i="4"/>
  <c r="AW72" i="4"/>
  <c r="AW71" i="4"/>
  <c r="AW73" i="4"/>
  <c r="AW74" i="4"/>
  <c r="AW51" i="4"/>
  <c r="AW52" i="4"/>
  <c r="AW53" i="4"/>
  <c r="AW54" i="4"/>
  <c r="AW55" i="4"/>
  <c r="AW36" i="4"/>
  <c r="AW32" i="4"/>
  <c r="E21" i="4"/>
  <c r="B21" i="4"/>
  <c r="F21" i="4"/>
  <c r="AW33" i="4"/>
  <c r="AW34" i="4"/>
  <c r="AW35" i="4"/>
  <c r="AW15" i="4"/>
  <c r="AW14" i="4"/>
  <c r="AW13" i="4"/>
  <c r="AW16" i="4"/>
  <c r="B28" i="4"/>
  <c r="B24" i="4"/>
  <c r="C27" i="4"/>
  <c r="D26" i="4"/>
  <c r="C31" i="4"/>
  <c r="C23" i="4"/>
  <c r="E29" i="4"/>
  <c r="E25" i="4"/>
  <c r="AW17" i="4"/>
  <c r="B31" i="4"/>
  <c r="B27" i="4"/>
  <c r="B23" i="4"/>
  <c r="C30" i="4"/>
  <c r="C26" i="4"/>
  <c r="C22" i="4"/>
  <c r="E28" i="4"/>
  <c r="E24" i="4"/>
  <c r="F30" i="4"/>
  <c r="F26" i="4"/>
  <c r="F22" i="4"/>
  <c r="E30" i="4"/>
  <c r="F29" i="4"/>
  <c r="E26" i="4"/>
  <c r="F25" i="4"/>
  <c r="E22" i="4"/>
  <c r="D30" i="4"/>
  <c r="D22" i="4"/>
  <c r="D24" i="4"/>
  <c r="D28" i="4"/>
  <c r="H29" i="4"/>
  <c r="H25" i="4"/>
  <c r="H30" i="4"/>
  <c r="H26" i="4"/>
  <c r="H22" i="4"/>
  <c r="G29" i="4"/>
  <c r="G25" i="4"/>
  <c r="F28" i="4"/>
  <c r="F24" i="4"/>
  <c r="F23" i="4"/>
  <c r="F31" i="4"/>
  <c r="F27" i="4"/>
  <c r="C29" i="4"/>
  <c r="C25" i="4"/>
  <c r="C21" i="4"/>
  <c r="C28" i="4"/>
  <c r="C24" i="4"/>
  <c r="E31" i="4"/>
  <c r="E27" i="4"/>
  <c r="E23" i="4"/>
  <c r="D31" i="4"/>
  <c r="D27" i="4"/>
  <c r="D23" i="4"/>
  <c r="D21" i="4"/>
  <c r="H21" i="4"/>
  <c r="H28" i="4"/>
  <c r="H24" i="4"/>
  <c r="H31" i="4"/>
  <c r="H27" i="4"/>
  <c r="H23" i="4"/>
  <c r="G28" i="4"/>
  <c r="G24" i="4"/>
  <c r="G31" i="4"/>
  <c r="G27" i="4"/>
  <c r="G23" i="4"/>
  <c r="G30" i="4"/>
  <c r="G21" i="4"/>
  <c r="G22" i="4"/>
  <c r="G26" i="4"/>
  <c r="D29" i="4"/>
  <c r="D25" i="4"/>
  <c r="B30" i="4"/>
  <c r="B26" i="4"/>
  <c r="B22" i="4"/>
  <c r="B29" i="4"/>
  <c r="B25" i="4"/>
  <c r="AW192" i="4"/>
  <c r="AW249" i="4"/>
  <c r="AW230" i="4"/>
  <c r="AW211" i="4"/>
  <c r="AW268" i="4"/>
  <c r="AP246" i="4"/>
  <c r="AP265" i="4"/>
  <c r="AP284" i="4"/>
  <c r="AP227" i="4"/>
  <c r="AS56" i="4"/>
  <c r="AW155" i="4"/>
  <c r="AU75" i="4"/>
  <c r="AU113" i="4"/>
  <c r="AU189" i="4"/>
  <c r="AS94" i="4"/>
  <c r="AS170" i="4"/>
  <c r="AW45" i="4"/>
  <c r="AW49" i="4"/>
  <c r="AW117" i="4"/>
  <c r="AW79" i="4"/>
  <c r="AW83" i="4"/>
  <c r="AW87" i="4"/>
  <c r="AW159" i="4"/>
  <c r="AW121" i="4"/>
  <c r="AW163" i="4"/>
  <c r="AW125" i="4"/>
  <c r="AQ75" i="4"/>
  <c r="AW62" i="4"/>
  <c r="AW66" i="4"/>
  <c r="AW138" i="4"/>
  <c r="AW142" i="4"/>
  <c r="AQ113" i="4"/>
  <c r="AW100" i="4"/>
  <c r="AW104" i="4"/>
  <c r="AQ189" i="4"/>
  <c r="AW176" i="4"/>
  <c r="AW180" i="4"/>
  <c r="AW5" i="4"/>
  <c r="AW2" i="4"/>
  <c r="AW9" i="4"/>
  <c r="AW40" i="4"/>
  <c r="AW116" i="4"/>
  <c r="AW154" i="4"/>
  <c r="AW11" i="4"/>
  <c r="AW7" i="4"/>
  <c r="AW3" i="4"/>
  <c r="AW30" i="4"/>
  <c r="AW26" i="4"/>
  <c r="AW22" i="4"/>
  <c r="AW41" i="4"/>
  <c r="AW78" i="4"/>
  <c r="AW10" i="4"/>
  <c r="AW6" i="4"/>
  <c r="AW12" i="4"/>
  <c r="AW8" i="4"/>
  <c r="AW4" i="4"/>
  <c r="AW59" i="4"/>
  <c r="AW97" i="4"/>
  <c r="AW135" i="4"/>
  <c r="AW173" i="4"/>
  <c r="AT56" i="4"/>
  <c r="AW44" i="4"/>
  <c r="AW48" i="4"/>
  <c r="AR75" i="4"/>
  <c r="AV75" i="4"/>
  <c r="AW61" i="4"/>
  <c r="AW65" i="4"/>
  <c r="AW69" i="4"/>
  <c r="AT94" i="4"/>
  <c r="AW82" i="4"/>
  <c r="AW86" i="4"/>
  <c r="AR113" i="4"/>
  <c r="AV113" i="4"/>
  <c r="AW99" i="4"/>
  <c r="AW103" i="4"/>
  <c r="AW107" i="4"/>
  <c r="AW120" i="4"/>
  <c r="AW124" i="4"/>
  <c r="AW137" i="4"/>
  <c r="AW141" i="4"/>
  <c r="AW145" i="4"/>
  <c r="AT170" i="4"/>
  <c r="AW158" i="4"/>
  <c r="AW162" i="4"/>
  <c r="AR189" i="4"/>
  <c r="AV189" i="4"/>
  <c r="AW175" i="4"/>
  <c r="AW179" i="4"/>
  <c r="AW183" i="4"/>
  <c r="AU18" i="4"/>
  <c r="AQ37" i="4"/>
  <c r="AU37" i="4"/>
  <c r="AW31" i="4"/>
  <c r="AW29" i="4"/>
  <c r="AW28" i="4"/>
  <c r="AW27" i="4"/>
  <c r="AW25" i="4"/>
  <c r="AW24" i="4"/>
  <c r="AW23" i="4"/>
  <c r="AQ56" i="4"/>
  <c r="AU56" i="4"/>
  <c r="AW43" i="4"/>
  <c r="AW47" i="4"/>
  <c r="AS75" i="4"/>
  <c r="AW60" i="4"/>
  <c r="AW64" i="4"/>
  <c r="AW68" i="4"/>
  <c r="AQ94" i="4"/>
  <c r="AU94" i="4"/>
  <c r="AW81" i="4"/>
  <c r="AW85" i="4"/>
  <c r="AS113" i="4"/>
  <c r="AW98" i="4"/>
  <c r="AW102" i="4"/>
  <c r="AW106" i="4"/>
  <c r="AW119" i="4"/>
  <c r="AW123" i="4"/>
  <c r="AW136" i="4"/>
  <c r="AW140" i="4"/>
  <c r="AW144" i="4"/>
  <c r="AQ170" i="4"/>
  <c r="AU170" i="4"/>
  <c r="AW157" i="4"/>
  <c r="AW161" i="4"/>
  <c r="AS189" i="4"/>
  <c r="AW174" i="4"/>
  <c r="AW178" i="4"/>
  <c r="AW182" i="4"/>
  <c r="AR56" i="4"/>
  <c r="AV56" i="4"/>
  <c r="AW42" i="4"/>
  <c r="AW46" i="4"/>
  <c r="AW50" i="4"/>
  <c r="AT75" i="4"/>
  <c r="AW63" i="4"/>
  <c r="AW67" i="4"/>
  <c r="AR94" i="4"/>
  <c r="AV94" i="4"/>
  <c r="AW80" i="4"/>
  <c r="AW84" i="4"/>
  <c r="AW88" i="4"/>
  <c r="AT113" i="4"/>
  <c r="AW101" i="4"/>
  <c r="AW105" i="4"/>
  <c r="AW118" i="4"/>
  <c r="AW122" i="4"/>
  <c r="AW126" i="4"/>
  <c r="AW139" i="4"/>
  <c r="AW143" i="4"/>
  <c r="AR170" i="4"/>
  <c r="AV170" i="4"/>
  <c r="AW156" i="4"/>
  <c r="AW160" i="4"/>
  <c r="AW164" i="4"/>
  <c r="AT189" i="4"/>
  <c r="AW177" i="4"/>
  <c r="AW181" i="4"/>
  <c r="AP189" i="4"/>
  <c r="AP170" i="4"/>
  <c r="AP113" i="4"/>
  <c r="AP94" i="4"/>
  <c r="AP75" i="4"/>
  <c r="AP56" i="4"/>
  <c r="AR37" i="4"/>
  <c r="AV37" i="4"/>
  <c r="AP37" i="4"/>
  <c r="AT37" i="4"/>
  <c r="AW21" i="4"/>
  <c r="AS37" i="4"/>
  <c r="AR18" i="4"/>
  <c r="AS18" i="4"/>
  <c r="AV18" i="4"/>
  <c r="AT18" i="4"/>
  <c r="AQ18" i="4"/>
  <c r="AP18" i="4"/>
  <c r="I23" i="4" l="1"/>
  <c r="I27" i="4"/>
  <c r="I22" i="4"/>
  <c r="I25" i="4"/>
  <c r="I26" i="4"/>
  <c r="I21" i="4"/>
  <c r="I24" i="4"/>
  <c r="C37" i="4"/>
  <c r="B37" i="4"/>
  <c r="E37" i="4"/>
  <c r="D37" i="4"/>
  <c r="F37" i="4"/>
  <c r="G37" i="4"/>
  <c r="H37" i="4"/>
  <c r="AW284" i="4"/>
  <c r="I16" i="4" s="1"/>
  <c r="I31" i="4"/>
  <c r="AW265" i="4"/>
  <c r="I15" i="4" s="1"/>
  <c r="AW246" i="4"/>
  <c r="I14" i="4" s="1"/>
  <c r="AW208" i="4"/>
  <c r="I12" i="4" s="1"/>
  <c r="AW132" i="4"/>
  <c r="I8" i="4" s="1"/>
  <c r="AW227" i="4"/>
  <c r="I13" i="4" s="1"/>
  <c r="I33" i="4"/>
  <c r="I32" i="4"/>
  <c r="I34" i="4"/>
  <c r="I36" i="4"/>
  <c r="I35" i="4"/>
  <c r="I29" i="4"/>
  <c r="I28" i="4"/>
  <c r="I30" i="4"/>
  <c r="AW94" i="4"/>
  <c r="I6" i="4" s="1"/>
  <c r="AW170" i="4"/>
  <c r="I10" i="4" s="1"/>
  <c r="AW189" i="4"/>
  <c r="I11" i="4" s="1"/>
  <c r="AW18" i="4"/>
  <c r="I2" i="4" s="1"/>
  <c r="AW56" i="4"/>
  <c r="I4" i="4" s="1"/>
  <c r="AW113" i="4"/>
  <c r="I7" i="4" s="1"/>
  <c r="AW37" i="4"/>
  <c r="I3" i="4" s="1"/>
  <c r="AW75" i="4"/>
  <c r="I5" i="4" s="1"/>
  <c r="AW151" i="4"/>
  <c r="I9" i="4" s="1"/>
  <c r="I37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ABC2CC-6D98-49FB-B8B2-D2190F2C73F9}" keepAlive="1" name="Query - Sheet1" description="Connection to the 'Sheet1' query in the workbook." type="5" refreshedVersion="6" background="1" saveData="1">
    <dbPr connection="Provider=Microsoft.Mashup.OleDb.1;Data Source=$Workbook$;Location=Sheet1;Extended Properties=&quot;&quot;" command="SELECT * FROM [Sheet1]"/>
  </connection>
  <connection id="2" xr16:uid="{B1DA0502-474E-4845-8C82-B99E3110F0D2}" keepAlive="1" name="Query - Sheet1 (2)" description="Connection to the 'Sheet1 (2)' query in the workbook." type="5" refreshedVersion="6" background="1" saveData="1">
    <dbPr connection="Provider=Microsoft.Mashup.OleDb.1;Data Source=$Workbook$;Location=Sheet1 (2);Extended Properties=&quot;&quot;" command="SELECT * FROM [Sheet1 (2)]"/>
  </connection>
</connections>
</file>

<file path=xl/sharedStrings.xml><?xml version="1.0" encoding="utf-8"?>
<sst xmlns="http://schemas.openxmlformats.org/spreadsheetml/2006/main" count="340" uniqueCount="122">
  <si>
    <t>S</t>
  </si>
  <si>
    <t>M</t>
  </si>
  <si>
    <t>T</t>
  </si>
  <si>
    <t>W</t>
  </si>
  <si>
    <t>F</t>
  </si>
  <si>
    <t>AURA</t>
  </si>
  <si>
    <t>Wage (€/h)</t>
  </si>
  <si>
    <t>Total (day)</t>
  </si>
  <si>
    <t>Total (hour)</t>
  </si>
  <si>
    <t>BRIAN</t>
  </si>
  <si>
    <t>ANDREW</t>
  </si>
  <si>
    <t>GEMMA</t>
  </si>
  <si>
    <t>INGRIDA</t>
  </si>
  <si>
    <t>Employee name</t>
  </si>
  <si>
    <t>REBECCA</t>
  </si>
  <si>
    <t>ZINEDDINE</t>
  </si>
  <si>
    <t>ESMA</t>
  </si>
  <si>
    <t>CONVERY</t>
  </si>
  <si>
    <t>MONIKA</t>
  </si>
  <si>
    <t>RONAN</t>
  </si>
  <si>
    <t>ROMANA</t>
  </si>
  <si>
    <t>MAGDA</t>
  </si>
  <si>
    <t>ANETA</t>
  </si>
  <si>
    <t>YOLANDA</t>
  </si>
  <si>
    <t>ELAINE</t>
  </si>
  <si>
    <t>RACHEL H</t>
  </si>
  <si>
    <t>RACHEL B</t>
  </si>
  <si>
    <t>LIGA</t>
  </si>
  <si>
    <t>JUSTYNA</t>
  </si>
  <si>
    <t>RACHAEL</t>
  </si>
  <si>
    <t>LUKASZ</t>
  </si>
  <si>
    <t>EMMA</t>
  </si>
  <si>
    <t>PAWEL</t>
  </si>
  <si>
    <t>THOMAS</t>
  </si>
  <si>
    <t>JOHN</t>
  </si>
  <si>
    <t>ANNA</t>
  </si>
  <si>
    <t>PEARCE</t>
  </si>
  <si>
    <t>COLM</t>
  </si>
  <si>
    <t>DAVE</t>
  </si>
  <si>
    <t>LEONARDO</t>
  </si>
  <si>
    <t>MARTA</t>
  </si>
  <si>
    <t>MICHELE</t>
  </si>
  <si>
    <t>WIL</t>
  </si>
  <si>
    <t>CAITLIN</t>
  </si>
  <si>
    <t>FINN</t>
  </si>
  <si>
    <t>CHLOE</t>
  </si>
  <si>
    <t>ORNA</t>
  </si>
  <si>
    <t>MARIANNE</t>
  </si>
  <si>
    <t>ABDULFATAH</t>
  </si>
  <si>
    <t>MARIA</t>
  </si>
  <si>
    <t>KATE</t>
  </si>
  <si>
    <t>CIARA</t>
  </si>
  <si>
    <t>HAZEL</t>
  </si>
  <si>
    <t>MARY</t>
  </si>
  <si>
    <t>SORCHA</t>
  </si>
  <si>
    <t>JOE</t>
  </si>
  <si>
    <t>WILLIAM</t>
  </si>
  <si>
    <t>GORDAN</t>
  </si>
  <si>
    <t>ALFIE</t>
  </si>
  <si>
    <t>SALLYANN</t>
  </si>
  <si>
    <t>VICTOR</t>
  </si>
  <si>
    <t>SAM</t>
  </si>
  <si>
    <t>VINCENT</t>
  </si>
  <si>
    <t>PIOTR</t>
  </si>
  <si>
    <t>ZELYKO</t>
  </si>
  <si>
    <t>NIAMH</t>
  </si>
  <si>
    <t>KACPER</t>
  </si>
  <si>
    <t>AIDAN</t>
  </si>
  <si>
    <t>OLGA</t>
  </si>
  <si>
    <t>MACIEJ</t>
  </si>
  <si>
    <t>PAULA</t>
  </si>
  <si>
    <t>BARTOSZ</t>
  </si>
  <si>
    <t>NATHAN</t>
  </si>
  <si>
    <t>MONDAY</t>
  </si>
  <si>
    <t>TUESDAY</t>
  </si>
  <si>
    <t>WEDNESDAY</t>
  </si>
  <si>
    <t>THURSDAY</t>
  </si>
  <si>
    <t>FRIDAY</t>
  </si>
  <si>
    <t>SATURDAY</t>
  </si>
  <si>
    <t>SUNDAY</t>
  </si>
  <si>
    <t>13/08 - 19/08</t>
  </si>
  <si>
    <t>20/08 - 26/08</t>
  </si>
  <si>
    <t>27/08 - 02/09</t>
  </si>
  <si>
    <t>DATE:</t>
  </si>
  <si>
    <t>DAY:</t>
  </si>
  <si>
    <t>CAFÉ/RESTAURANT:</t>
  </si>
  <si>
    <t>AREA:</t>
  </si>
  <si>
    <t>10 am - close</t>
  </si>
  <si>
    <t>10 18</t>
  </si>
  <si>
    <t>AREA</t>
  </si>
  <si>
    <t>DATE ON MONDAY</t>
  </si>
  <si>
    <t>AVAILABLE EMPLOYEES</t>
  </si>
  <si>
    <t>EMPLOYEE NAME</t>
  </si>
  <si>
    <t>Aura</t>
  </si>
  <si>
    <t>Andrew</t>
  </si>
  <si>
    <t>ingrida</t>
  </si>
  <si>
    <t>9 17</t>
  </si>
  <si>
    <t>brian</t>
  </si>
  <si>
    <t>KSD</t>
  </si>
  <si>
    <t>KFD</t>
  </si>
  <si>
    <t>KW</t>
  </si>
  <si>
    <t>FSD</t>
  </si>
  <si>
    <t>FFD</t>
  </si>
  <si>
    <t>FW</t>
  </si>
  <si>
    <t>9 am - 5 pm</t>
  </si>
  <si>
    <t>Green if limit has not 
been reached yet</t>
  </si>
  <si>
    <t>Column1</t>
  </si>
  <si>
    <t>Column2</t>
  </si>
  <si>
    <t>Sitting Duck</t>
  </si>
  <si>
    <t>Floor</t>
  </si>
  <si>
    <t>gemma</t>
  </si>
  <si>
    <t>9 15</t>
  </si>
  <si>
    <t>10 17</t>
  </si>
  <si>
    <t>8 15</t>
  </si>
  <si>
    <t>11 18</t>
  </si>
  <si>
    <t>7 14</t>
  </si>
  <si>
    <t>TOTAL HRS</t>
  </si>
  <si>
    <t>7 am - 2 pm</t>
  </si>
  <si>
    <t>11 am - close</t>
  </si>
  <si>
    <t>8 am - 3 pm</t>
  </si>
  <si>
    <t>9 am - 3 pm</t>
  </si>
  <si>
    <t>10 am - 5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</si>
</sst>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€-2]\ * #,##0.00_-;\-[$€-2]\ * #,##0.00_-;_-[$€-2]\ * &quot;-&quot;??_-;_-@_-"/>
    <numFmt numFmtId="165" formatCode="dd\ mmm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"/>
      <color theme="1"/>
      <name val="Onyx"/>
      <family val="5"/>
    </font>
    <font>
      <sz val="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1" xfId="0" applyBorder="1"/>
    <xf numFmtId="0" fontId="1" fillId="0" borderId="1" xfId="0" applyFont="1" applyBorder="1"/>
    <xf numFmtId="20" fontId="0" fillId="0" borderId="0" xfId="0" applyNumberFormat="1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16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20" fontId="2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4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Protection="1">
      <protection locked="0"/>
    </xf>
    <xf numFmtId="20" fontId="1" fillId="0" borderId="1" xfId="0" applyNumberFormat="1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2" fontId="1" fillId="0" borderId="1" xfId="0" applyNumberFormat="1" applyFont="1" applyBorder="1" applyAlignment="1" applyProtection="1">
      <alignment horizontal="left"/>
      <protection locked="0"/>
    </xf>
    <xf numFmtId="1" fontId="0" fillId="0" borderId="1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NumberFormat="1"/>
    <xf numFmtId="0" fontId="1" fillId="0" borderId="4" xfId="0" applyFont="1" applyBorder="1"/>
    <xf numFmtId="0" fontId="1" fillId="5" borderId="1" xfId="0" applyFont="1" applyFill="1" applyBorder="1" applyAlignment="1">
      <alignment horizontal="center"/>
    </xf>
    <xf numFmtId="20" fontId="1" fillId="4" borderId="1" xfId="0" applyNumberFormat="1" applyFont="1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20" fontId="1" fillId="0" borderId="1" xfId="0" applyNumberFormat="1" applyFont="1" applyBorder="1" applyAlignment="1">
      <alignment horizontal="center"/>
    </xf>
    <xf numFmtId="0" fontId="0" fillId="0" borderId="0" xfId="0" applyFill="1"/>
    <xf numFmtId="0" fontId="5" fillId="0" borderId="0" xfId="0" applyFont="1"/>
    <xf numFmtId="164" fontId="6" fillId="0" borderId="1" xfId="0" applyNumberFormat="1" applyFont="1" applyFill="1" applyBorder="1"/>
    <xf numFmtId="0" fontId="0" fillId="0" borderId="5" xfId="0" applyBorder="1" applyProtection="1">
      <protection locked="0"/>
    </xf>
    <xf numFmtId="0" fontId="1" fillId="0" borderId="5" xfId="0" applyFont="1" applyFill="1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7" fillId="0" borderId="0" xfId="0" applyFont="1" applyBorder="1" applyAlignment="1">
      <alignment horizontal="center"/>
    </xf>
    <xf numFmtId="164" fontId="7" fillId="0" borderId="0" xfId="0" applyNumberFormat="1" applyFont="1" applyBorder="1"/>
    <xf numFmtId="0" fontId="7" fillId="0" borderId="0" xfId="0" applyFont="1" applyBorder="1"/>
    <xf numFmtId="0" fontId="0" fillId="0" borderId="0" xfId="0" applyNumberFormat="1" applyProtection="1"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0" xfId="0" applyBorder="1" applyAlignment="1">
      <alignment vertical="center"/>
    </xf>
    <xf numFmtId="1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FFFF00"/>
      </font>
      <fill>
        <patternFill>
          <bgColor rgb="FF92D050"/>
        </patternFill>
      </fill>
    </dxf>
    <dxf>
      <font>
        <color rgb="FFFFFF00"/>
      </font>
      <fill>
        <patternFill>
          <bgColor rgb="FFFF0000"/>
        </patternFill>
      </fill>
    </dxf>
    <dxf>
      <numFmt numFmtId="0" formatCode="General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14</xdr:row>
          <xdr:rowOff>144780</xdr:rowOff>
        </xdr:from>
        <xdr:to>
          <xdr:col>11</xdr:col>
          <xdr:colOff>0</xdr:colOff>
          <xdr:row>16</xdr:row>
          <xdr:rowOff>83820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20</xdr:row>
          <xdr:rowOff>76200</xdr:rowOff>
        </xdr:from>
        <xdr:to>
          <xdr:col>11</xdr:col>
          <xdr:colOff>7620</xdr:colOff>
          <xdr:row>22</xdr:row>
          <xdr:rowOff>15240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83820</xdr:colOff>
      <xdr:row>0</xdr:row>
      <xdr:rowOff>30480</xdr:rowOff>
    </xdr:from>
    <xdr:to>
      <xdr:col>16</xdr:col>
      <xdr:colOff>655320</xdr:colOff>
      <xdr:row>40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2780" y="30480"/>
          <a:ext cx="2788920" cy="746760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 u="sng">
              <a:solidFill>
                <a:schemeClr val="tx1"/>
              </a:solidFill>
            </a:rPr>
            <a:t>INSTRUCTIONS:</a:t>
          </a:r>
        </a:p>
        <a:p>
          <a:pPr algn="l"/>
          <a:r>
            <a:rPr lang="en-GB" sz="1200" b="1">
              <a:solidFill>
                <a:srgbClr val="FF0000"/>
              </a:solidFill>
            </a:rPr>
            <a:t>STEP</a:t>
          </a:r>
          <a:r>
            <a:rPr lang="en-GB" sz="1200" b="1" baseline="0">
              <a:solidFill>
                <a:srgbClr val="FF0000"/>
              </a:solidFill>
            </a:rPr>
            <a:t> 1: Click on the tab DATA and then on REFRESH ALL. (YOU MUST HAVE AN INTERNET CONNECTION)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Click on "Update availabe employees"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Select cafe/restaurant, select area, and type in the date on the Monday of the week in question.</a:t>
          </a:r>
          <a:endParaRPr lang="en-GB">
            <a:effectLst/>
          </a:endParaRPr>
        </a:p>
        <a:p>
          <a:pPr algn="l"/>
          <a:endParaRPr lang="en-GB" sz="1100" baseline="0"/>
        </a:p>
        <a:p>
          <a:pPr algn="l"/>
          <a:r>
            <a:rPr lang="en-GB" sz="1100" baseline="0"/>
            <a:t>STEP 4: Fill the main table with employee's name and start and end of shift times.</a:t>
          </a:r>
        </a:p>
        <a:p>
          <a:pPr algn="l"/>
          <a:r>
            <a:rPr lang="en-GB" sz="1200" b="1" baseline="0">
              <a:solidFill>
                <a:srgbClr val="FFC000"/>
              </a:solidFill>
            </a:rPr>
            <a:t>IMPORTANT: This program only deals with hours, not minutes.</a:t>
          </a:r>
        </a:p>
        <a:p>
          <a:pPr algn="l"/>
          <a:r>
            <a:rPr lang="en-GB" sz="1200" b="1" baseline="0">
              <a:solidFill>
                <a:srgbClr val="FF0000"/>
              </a:solidFill>
            </a:rPr>
            <a:t>IMPORTANT: Hours are in the 24h system</a:t>
          </a:r>
          <a:r>
            <a:rPr lang="en-GB" sz="1200" baseline="0"/>
            <a:t>, </a:t>
          </a:r>
          <a:r>
            <a:rPr lang="en-GB" sz="1100" baseline="0"/>
            <a:t>meaning if someone leaves at 5pm the number that should be input is "17".</a:t>
          </a:r>
          <a:endParaRPr lang="en-GB" sz="1200" baseline="0"/>
        </a:p>
        <a:p>
          <a:pPr algn="l"/>
          <a:r>
            <a:rPr lang="en-GB" sz="1200" b="1" baseline="0">
              <a:solidFill>
                <a:srgbClr val="FF0000"/>
              </a:solidFill>
            </a:rPr>
            <a:t>IMPORTANT: Separate start and end of shift times with a space.</a:t>
          </a:r>
          <a:r>
            <a:rPr lang="en-GB" sz="1200" baseline="0"/>
            <a:t> </a:t>
          </a:r>
          <a:r>
            <a:rPr lang="en-GB" sz="1100" baseline="0"/>
            <a:t>That is, if someone gets in at 7 am and leaves at 3 pm, type "7 15".</a:t>
          </a:r>
        </a:p>
        <a:p>
          <a:pPr algn="l"/>
          <a:r>
            <a:rPr lang="en-GB" sz="12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IMPORTANT: CHECK IF EMPLOYEE NAME IS IN THE LIST OF AVAILABLE EMPLYOEES.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IMPORTANT: NAME MUST BE SPELLED EXACTLY THE SAME AS IN THE LIST.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IMPORTANT: FOR THE PURPOSES OF THE MAIN WORKSHEETS, "18" MEANS "CLOSE" FOR THE SITTING DUCK AND THE FULL DUCK, WHEREAS "22" MEANS THE SAME FOR WILDE'S.  </a:t>
          </a:r>
          <a:r>
            <a:rPr lang="en-GB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However, when a roster is generated, it says "close".</a:t>
          </a:r>
          <a:endParaRPr lang="en-GB" sz="1100" b="0" baseline="0">
            <a:solidFill>
              <a:schemeClr val="tx1"/>
            </a:solidFill>
          </a:endParaRPr>
        </a:p>
        <a:p>
          <a:pPr algn="l"/>
          <a:endParaRPr lang="en-GB" sz="1100" baseline="0"/>
        </a:p>
        <a:p>
          <a:pPr algn="l"/>
          <a:r>
            <a:rPr lang="en-GB" sz="1100" baseline="0"/>
            <a:t>STEP 5: Click on "Calculate employee costs".</a:t>
          </a:r>
        </a:p>
        <a:p>
          <a:pPr algn="l"/>
          <a:r>
            <a:rPr lang="en-GB" sz="1200" b="1" baseline="0">
              <a:solidFill>
                <a:srgbClr val="FF0000"/>
              </a:solidFill>
            </a:rPr>
            <a:t>IMPORTANT: Repeat steps 4 and 5 until desired roster is found</a:t>
          </a:r>
          <a:r>
            <a:rPr lang="en-GB" sz="1100" b="0" baseline="0">
              <a:solidFill>
                <a:schemeClr val="tx1"/>
              </a:solidFill>
            </a:rPr>
            <a:t>, that is, reduce hours until the cells just under the button "Calculate employee costs" is green.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STEP 6: Click on Generate roster.</a:t>
          </a:r>
        </a:p>
        <a:p>
          <a:pPr algn="l"/>
          <a:endParaRPr lang="en-GB" sz="1100" baseline="0"/>
        </a:p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</xdr:row>
          <xdr:rowOff>106680</xdr:rowOff>
        </xdr:from>
        <xdr:to>
          <xdr:col>11</xdr:col>
          <xdr:colOff>7620</xdr:colOff>
          <xdr:row>5</xdr:row>
          <xdr:rowOff>45720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45720</xdr:colOff>
      <xdr:row>1</xdr:row>
      <xdr:rowOff>7620</xdr:rowOff>
    </xdr:from>
    <xdr:to>
      <xdr:col>10</xdr:col>
      <xdr:colOff>1714500</xdr:colOff>
      <xdr:row>3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377940" y="198120"/>
          <a:ext cx="2042160" cy="35814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1 - Data &gt; Refresh all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53340</xdr:colOff>
      <xdr:row>3</xdr:row>
      <xdr:rowOff>106680</xdr:rowOff>
    </xdr:from>
    <xdr:to>
      <xdr:col>9</xdr:col>
      <xdr:colOff>342900</xdr:colOff>
      <xdr:row>5</xdr:row>
      <xdr:rowOff>91440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385560" y="662940"/>
          <a:ext cx="289560" cy="35052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2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53340</xdr:colOff>
      <xdr:row>6</xdr:row>
      <xdr:rowOff>7620</xdr:rowOff>
    </xdr:from>
    <xdr:to>
      <xdr:col>9</xdr:col>
      <xdr:colOff>342900</xdr:colOff>
      <xdr:row>7</xdr:row>
      <xdr:rowOff>175260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385560" y="1112520"/>
          <a:ext cx="289560" cy="35052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3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53340</xdr:colOff>
      <xdr:row>12</xdr:row>
      <xdr:rowOff>7620</xdr:rowOff>
    </xdr:from>
    <xdr:to>
      <xdr:col>9</xdr:col>
      <xdr:colOff>342900</xdr:colOff>
      <xdr:row>13</xdr:row>
      <xdr:rowOff>175260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385560" y="2209800"/>
          <a:ext cx="289560" cy="35052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3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53340</xdr:colOff>
      <xdr:row>9</xdr:row>
      <xdr:rowOff>15240</xdr:rowOff>
    </xdr:from>
    <xdr:to>
      <xdr:col>9</xdr:col>
      <xdr:colOff>342900</xdr:colOff>
      <xdr:row>11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385560" y="1668780"/>
          <a:ext cx="289560" cy="35052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3</a:t>
          </a:r>
        </a:p>
        <a:p>
          <a:pPr algn="l"/>
          <a:endParaRPr lang="en-GB" sz="1100"/>
        </a:p>
      </xdr:txBody>
    </xdr:sp>
    <xdr:clientData/>
  </xdr:twoCellAnchor>
  <xdr:twoCellAnchor>
    <xdr:from>
      <xdr:col>0</xdr:col>
      <xdr:colOff>0</xdr:colOff>
      <xdr:row>16</xdr:row>
      <xdr:rowOff>60960</xdr:rowOff>
    </xdr:from>
    <xdr:to>
      <xdr:col>8</xdr:col>
      <xdr:colOff>0</xdr:colOff>
      <xdr:row>18</xdr:row>
      <xdr:rowOff>45720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2994660"/>
          <a:ext cx="5577840" cy="35052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600" baseline="0"/>
            <a:t>4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45720</xdr:colOff>
      <xdr:row>14</xdr:row>
      <xdr:rowOff>129540</xdr:rowOff>
    </xdr:from>
    <xdr:to>
      <xdr:col>9</xdr:col>
      <xdr:colOff>335280</xdr:colOff>
      <xdr:row>16</xdr:row>
      <xdr:rowOff>114300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377940" y="2697480"/>
          <a:ext cx="289560" cy="35052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5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53340</xdr:colOff>
      <xdr:row>20</xdr:row>
      <xdr:rowOff>76200</xdr:rowOff>
    </xdr:from>
    <xdr:to>
      <xdr:col>9</xdr:col>
      <xdr:colOff>342900</xdr:colOff>
      <xdr:row>22</xdr:row>
      <xdr:rowOff>60960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385560" y="3741420"/>
          <a:ext cx="289560" cy="350520"/>
        </a:xfrm>
        <a:prstGeom prst="rect">
          <a:avLst/>
        </a:prstGeom>
        <a:solidFill>
          <a:schemeClr val="bg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600" baseline="0"/>
            <a:t>6</a:t>
          </a:r>
        </a:p>
        <a:p>
          <a:pPr algn="l"/>
          <a:endParaRPr lang="en-GB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71EE8D5-D26E-48AE-BE20-B58701CEA9E1}" autoFormatId="16" applyNumberFormats="0" applyBorderFormats="0" applyFontFormats="0" applyPatternFormats="0" applyAlignmentFormats="0" applyWidthHeightFormats="0">
  <queryTableRefresh nextId="3">
    <queryTableFields count="2">
      <queryTableField id="1" name="Employee name" tableColumnId="1"/>
      <queryTableField id="2" name="Wage (€/h)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0514A61-91E0-4A1B-8838-43072C4CD4B2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A30AB5-D4DA-417F-867F-A25CC2D398FF}" name="Sheet1" displayName="Sheet1" ref="A1:B65" tableType="queryTable" totalsRowShown="0" headerRowDxfId="6" dataDxfId="5">
  <autoFilter ref="A1:B65" xr:uid="{092B94B6-A846-49C1-A352-5C06C006DC40}"/>
  <sortState ref="A2:B65">
    <sortCondition ref="A1:A65"/>
  </sortState>
  <tableColumns count="2">
    <tableColumn id="1" xr3:uid="{A07A1CFE-00B5-426F-9B31-23B4E7F36FDD}" uniqueName="1" name="Employee name" queryTableFieldId="1" dataDxfId="4"/>
    <tableColumn id="2" xr3:uid="{6202ACF9-EFF1-4DDD-89CA-63946729991A}" uniqueName="2" name="Wage (€/h)" queryTableFieldId="2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C75F2D-F1F4-47C2-972E-C594A6751D99}" name="Sheet1__2" displayName="Sheet1__2" ref="A1:B7" tableType="queryTable" totalsRowShown="0">
  <autoFilter ref="A1:B7" xr:uid="{A23E9C76-9F77-47F2-9AED-4EAAB8A6A6BC}"/>
  <tableColumns count="2">
    <tableColumn id="1" xr3:uid="{D14521E3-0CF0-4010-8773-B269E695D08C}" uniqueName="1" name="Column1" queryTableFieldId="1" dataDxfId="2"/>
    <tableColumn id="2" xr3:uid="{B371AAF9-E803-45F0-8781-3BDD7F4BB4C0}" uniqueName="2" name="Column2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14E4F-72FF-4AE0-9596-9923804C49D2}">
  <sheetPr codeName="Sheet4"/>
  <dimension ref="A1:B65"/>
  <sheetViews>
    <sheetView topLeftCell="C1" workbookViewId="0">
      <selection activeCell="B1" activeCellId="1" sqref="A1:A1048576 B1:B1048576"/>
    </sheetView>
  </sheetViews>
  <sheetFormatPr defaultRowHeight="14.4"/>
  <cols>
    <col min="1" max="1" width="16.88671875" style="21" hidden="1" customWidth="1"/>
    <col min="2" max="2" width="12.77734375" style="21" hidden="1" customWidth="1"/>
  </cols>
  <sheetData>
    <row r="1" spans="1:2">
      <c r="A1" s="21" t="s">
        <v>13</v>
      </c>
      <c r="B1" s="21" t="s">
        <v>6</v>
      </c>
    </row>
    <row r="2" spans="1:2">
      <c r="A2" s="40" t="s">
        <v>48</v>
      </c>
      <c r="B2" s="21">
        <v>0</v>
      </c>
    </row>
    <row r="3" spans="1:2">
      <c r="A3" s="40" t="s">
        <v>67</v>
      </c>
      <c r="B3" s="21">
        <v>10</v>
      </c>
    </row>
    <row r="4" spans="1:2">
      <c r="A4" s="40" t="s">
        <v>58</v>
      </c>
      <c r="B4" s="21">
        <v>15</v>
      </c>
    </row>
    <row r="5" spans="1:2">
      <c r="A5" s="40" t="s">
        <v>10</v>
      </c>
      <c r="B5" s="21">
        <v>9.5500000000000007</v>
      </c>
    </row>
    <row r="6" spans="1:2">
      <c r="A6" s="40" t="s">
        <v>22</v>
      </c>
      <c r="B6" s="21">
        <v>11.9</v>
      </c>
    </row>
    <row r="7" spans="1:2">
      <c r="A7" s="40" t="s">
        <v>35</v>
      </c>
    </row>
    <row r="8" spans="1:2">
      <c r="A8" s="40" t="s">
        <v>5</v>
      </c>
      <c r="B8" s="21">
        <v>12.82</v>
      </c>
    </row>
    <row r="9" spans="1:2">
      <c r="A9" s="40" t="s">
        <v>71</v>
      </c>
    </row>
    <row r="10" spans="1:2">
      <c r="A10" s="40" t="s">
        <v>9</v>
      </c>
      <c r="B10" s="21">
        <v>9.5500000000000007</v>
      </c>
    </row>
    <row r="11" spans="1:2">
      <c r="A11" s="40" t="s">
        <v>43</v>
      </c>
    </row>
    <row r="12" spans="1:2">
      <c r="A12" s="40" t="s">
        <v>45</v>
      </c>
      <c r="B12" s="21">
        <v>9.5500000000000007</v>
      </c>
    </row>
    <row r="13" spans="1:2">
      <c r="A13" s="40" t="s">
        <v>51</v>
      </c>
    </row>
    <row r="14" spans="1:2">
      <c r="A14" s="40" t="s">
        <v>37</v>
      </c>
    </row>
    <row r="15" spans="1:2">
      <c r="A15" s="40" t="s">
        <v>17</v>
      </c>
      <c r="B15" s="21">
        <v>9.5500000000000007</v>
      </c>
    </row>
    <row r="16" spans="1:2">
      <c r="A16" s="40" t="s">
        <v>38</v>
      </c>
      <c r="B16" s="21">
        <v>9.5500000000000007</v>
      </c>
    </row>
    <row r="17" spans="1:2">
      <c r="A17" s="40" t="s">
        <v>24</v>
      </c>
      <c r="B17" s="21">
        <v>9.5500000000000007</v>
      </c>
    </row>
    <row r="18" spans="1:2">
      <c r="A18" s="40" t="s">
        <v>31</v>
      </c>
      <c r="B18" s="21">
        <v>12</v>
      </c>
    </row>
    <row r="19" spans="1:2">
      <c r="A19" s="40" t="s">
        <v>16</v>
      </c>
    </row>
    <row r="20" spans="1:2">
      <c r="A20" s="40" t="s">
        <v>44</v>
      </c>
    </row>
    <row r="21" spans="1:2">
      <c r="A21" s="40" t="s">
        <v>11</v>
      </c>
      <c r="B21" s="21">
        <v>9.75</v>
      </c>
    </row>
    <row r="22" spans="1:2">
      <c r="A22" s="40" t="s">
        <v>57</v>
      </c>
    </row>
    <row r="23" spans="1:2">
      <c r="A23" s="40" t="s">
        <v>52</v>
      </c>
    </row>
    <row r="24" spans="1:2">
      <c r="A24" s="40" t="s">
        <v>12</v>
      </c>
      <c r="B24" s="21">
        <v>9.5500000000000007</v>
      </c>
    </row>
    <row r="25" spans="1:2">
      <c r="A25" s="40" t="s">
        <v>55</v>
      </c>
    </row>
    <row r="26" spans="1:2">
      <c r="A26" s="40" t="s">
        <v>34</v>
      </c>
    </row>
    <row r="27" spans="1:2">
      <c r="A27" s="40" t="s">
        <v>28</v>
      </c>
      <c r="B27" s="21">
        <v>10.35</v>
      </c>
    </row>
    <row r="28" spans="1:2">
      <c r="A28" s="40" t="s">
        <v>66</v>
      </c>
    </row>
    <row r="29" spans="1:2">
      <c r="A29" s="40" t="s">
        <v>50</v>
      </c>
    </row>
    <row r="30" spans="1:2">
      <c r="A30" s="40" t="s">
        <v>39</v>
      </c>
    </row>
    <row r="31" spans="1:2">
      <c r="A31" s="40" t="s">
        <v>27</v>
      </c>
      <c r="B31" s="21">
        <v>9.5500000000000007</v>
      </c>
    </row>
    <row r="32" spans="1:2">
      <c r="A32" s="40" t="s">
        <v>30</v>
      </c>
      <c r="B32" s="21">
        <v>10</v>
      </c>
    </row>
    <row r="33" spans="1:2">
      <c r="A33" s="40" t="s">
        <v>69</v>
      </c>
    </row>
    <row r="34" spans="1:2">
      <c r="A34" s="40" t="s">
        <v>21</v>
      </c>
      <c r="B34" s="21">
        <v>9.8000000000000007</v>
      </c>
    </row>
    <row r="35" spans="1:2">
      <c r="A35" s="40" t="s">
        <v>49</v>
      </c>
    </row>
    <row r="36" spans="1:2">
      <c r="A36" s="40" t="s">
        <v>47</v>
      </c>
      <c r="B36" s="21">
        <v>9.5500000000000007</v>
      </c>
    </row>
    <row r="37" spans="1:2">
      <c r="A37" s="40" t="s">
        <v>40</v>
      </c>
      <c r="B37" s="21">
        <v>12</v>
      </c>
    </row>
    <row r="38" spans="1:2">
      <c r="A38" s="40" t="s">
        <v>53</v>
      </c>
      <c r="B38" s="21">
        <v>9.5500000000000007</v>
      </c>
    </row>
    <row r="39" spans="1:2">
      <c r="A39" s="40" t="s">
        <v>41</v>
      </c>
    </row>
    <row r="40" spans="1:2">
      <c r="A40" s="40" t="s">
        <v>18</v>
      </c>
      <c r="B40" s="21">
        <v>19.23</v>
      </c>
    </row>
    <row r="41" spans="1:2">
      <c r="A41" s="40" t="s">
        <v>72</v>
      </c>
      <c r="B41" s="21">
        <v>9.5500000000000007</v>
      </c>
    </row>
    <row r="42" spans="1:2">
      <c r="A42" s="40" t="s">
        <v>65</v>
      </c>
      <c r="B42" s="21">
        <v>9.5500000000000007</v>
      </c>
    </row>
    <row r="43" spans="1:2">
      <c r="A43" s="40" t="s">
        <v>68</v>
      </c>
      <c r="B43" s="21">
        <v>9.5500000000000007</v>
      </c>
    </row>
    <row r="44" spans="1:2">
      <c r="A44" s="40" t="s">
        <v>46</v>
      </c>
    </row>
    <row r="45" spans="1:2">
      <c r="A45" s="40" t="s">
        <v>70</v>
      </c>
      <c r="B45" s="21">
        <v>10.55</v>
      </c>
    </row>
    <row r="46" spans="1:2">
      <c r="A46" s="40" t="s">
        <v>32</v>
      </c>
    </row>
    <row r="47" spans="1:2">
      <c r="A47" s="40" t="s">
        <v>36</v>
      </c>
      <c r="B47" s="21">
        <v>9.5500000000000007</v>
      </c>
    </row>
    <row r="48" spans="1:2">
      <c r="A48" s="40" t="s">
        <v>63</v>
      </c>
      <c r="B48" s="21">
        <v>14</v>
      </c>
    </row>
    <row r="49" spans="1:2">
      <c r="A49" s="40" t="s">
        <v>29</v>
      </c>
      <c r="B49" s="21">
        <v>12</v>
      </c>
    </row>
    <row r="50" spans="1:2">
      <c r="A50" s="40" t="s">
        <v>26</v>
      </c>
      <c r="B50" s="21">
        <v>9.5500000000000007</v>
      </c>
    </row>
    <row r="51" spans="1:2">
      <c r="A51" s="40" t="s">
        <v>25</v>
      </c>
    </row>
    <row r="52" spans="1:2">
      <c r="A52" s="40" t="s">
        <v>14</v>
      </c>
    </row>
    <row r="53" spans="1:2">
      <c r="A53" s="40" t="s">
        <v>20</v>
      </c>
      <c r="B53" s="21">
        <v>10.1</v>
      </c>
    </row>
    <row r="54" spans="1:2">
      <c r="A54" s="40" t="s">
        <v>19</v>
      </c>
    </row>
    <row r="55" spans="1:2">
      <c r="A55" s="40" t="s">
        <v>59</v>
      </c>
    </row>
    <row r="56" spans="1:2">
      <c r="A56" s="40" t="s">
        <v>61</v>
      </c>
      <c r="B56" s="21">
        <v>9.5500000000000007</v>
      </c>
    </row>
    <row r="57" spans="1:2">
      <c r="A57" s="40" t="s">
        <v>54</v>
      </c>
      <c r="B57" s="21">
        <v>10.3</v>
      </c>
    </row>
    <row r="58" spans="1:2">
      <c r="A58" s="40" t="s">
        <v>33</v>
      </c>
      <c r="B58" s="21">
        <v>9.5500000000000007</v>
      </c>
    </row>
    <row r="59" spans="1:2">
      <c r="A59" s="40" t="s">
        <v>60</v>
      </c>
      <c r="B59" s="21">
        <v>9.5500000000000007</v>
      </c>
    </row>
    <row r="60" spans="1:2">
      <c r="A60" s="40" t="s">
        <v>62</v>
      </c>
    </row>
    <row r="61" spans="1:2">
      <c r="A61" s="40" t="s">
        <v>42</v>
      </c>
      <c r="B61" s="21">
        <v>9.75</v>
      </c>
    </row>
    <row r="62" spans="1:2">
      <c r="A62" s="40" t="s">
        <v>56</v>
      </c>
    </row>
    <row r="63" spans="1:2">
      <c r="A63" s="40" t="s">
        <v>23</v>
      </c>
    </row>
    <row r="64" spans="1:2">
      <c r="A64" s="40" t="s">
        <v>64</v>
      </c>
    </row>
    <row r="65" spans="1:2">
      <c r="A65" s="40" t="s">
        <v>15</v>
      </c>
      <c r="B65" s="21">
        <v>9.5500000000000007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83AC-4737-47D7-B151-33BD654085A2}">
  <sheetPr codeName="Sheet1"/>
  <dimension ref="A1:B7"/>
  <sheetViews>
    <sheetView workbookViewId="0"/>
  </sheetViews>
  <sheetFormatPr defaultRowHeight="14.4"/>
  <cols>
    <col min="1" max="2" width="10.77734375" bestFit="1" customWidth="1"/>
  </cols>
  <sheetData>
    <row r="1" spans="1:2">
      <c r="A1" t="s">
        <v>106</v>
      </c>
      <c r="B1" t="s">
        <v>107</v>
      </c>
    </row>
    <row r="2" spans="1:2">
      <c r="A2" s="22" t="s">
        <v>98</v>
      </c>
      <c r="B2">
        <v>2000</v>
      </c>
    </row>
    <row r="3" spans="1:2">
      <c r="A3" s="22" t="s">
        <v>99</v>
      </c>
      <c r="B3">
        <v>2000</v>
      </c>
    </row>
    <row r="4" spans="1:2">
      <c r="A4" s="22" t="s">
        <v>100</v>
      </c>
      <c r="B4">
        <v>2300</v>
      </c>
    </row>
    <row r="5" spans="1:2">
      <c r="A5" s="22" t="s">
        <v>101</v>
      </c>
      <c r="B5">
        <v>1600</v>
      </c>
    </row>
    <row r="6" spans="1:2">
      <c r="A6" s="22" t="s">
        <v>102</v>
      </c>
      <c r="B6">
        <v>1600</v>
      </c>
    </row>
    <row r="7" spans="1:2">
      <c r="A7" s="22" t="s">
        <v>103</v>
      </c>
      <c r="B7">
        <v>1900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79013-92FF-4F0D-862F-08AF0E4D3C8F}">
  <sheetPr codeName="Sheet2"/>
  <dimension ref="A1:BA284"/>
  <sheetViews>
    <sheetView tabSelected="1" zoomScaleNormal="100" workbookViewId="0">
      <selection activeCell="H10" sqref="H10"/>
    </sheetView>
  </sheetViews>
  <sheetFormatPr defaultColWidth="0" defaultRowHeight="14.4" zeroHeight="1"/>
  <cols>
    <col min="1" max="1" width="16" bestFit="1" customWidth="1"/>
    <col min="2" max="8" width="9.33203125" bestFit="1" customWidth="1"/>
    <col min="9" max="9" width="11" bestFit="1" customWidth="1"/>
    <col min="10" max="10" width="5.44140625" customWidth="1"/>
    <col min="11" max="11" width="25.109375" customWidth="1"/>
    <col min="12" max="12" width="10" customWidth="1"/>
    <col min="13" max="13" width="23.5546875" customWidth="1"/>
    <col min="14" max="17" width="10.77734375" customWidth="1"/>
    <col min="18" max="18" width="8.88671875" hidden="1" customWidth="1"/>
    <col min="19" max="19" width="8.6640625" hidden="1" customWidth="1"/>
    <col min="20" max="33" width="3" hidden="1" customWidth="1"/>
    <col min="34" max="34" width="8.88671875" hidden="1" customWidth="1"/>
    <col min="35" max="35" width="10.5546875" hidden="1" customWidth="1"/>
    <col min="36" max="37" width="8.88671875" hidden="1" customWidth="1"/>
    <col min="38" max="38" width="14.109375" hidden="1" customWidth="1"/>
    <col min="39" max="39" width="10" hidden="1" customWidth="1"/>
    <col min="40" max="40" width="8.88671875" hidden="1" customWidth="1"/>
    <col min="41" max="41" width="10.109375" hidden="1" customWidth="1"/>
    <col min="42" max="42" width="2.77734375" hidden="1" customWidth="1"/>
    <col min="43" max="43" width="2" hidden="1" customWidth="1"/>
    <col min="44" max="44" width="2.77734375" hidden="1" customWidth="1"/>
    <col min="45" max="48" width="2" hidden="1" customWidth="1"/>
    <col min="49" max="49" width="11" hidden="1" customWidth="1"/>
    <col min="50" max="16384" width="8.88671875" hidden="1"/>
  </cols>
  <sheetData>
    <row r="1" spans="1:49" ht="15" thickBot="1">
      <c r="A1" s="2" t="s">
        <v>92</v>
      </c>
      <c r="B1" s="24" t="s">
        <v>1</v>
      </c>
      <c r="C1" s="24" t="s">
        <v>2</v>
      </c>
      <c r="D1" s="24" t="s">
        <v>3</v>
      </c>
      <c r="E1" s="24" t="s">
        <v>2</v>
      </c>
      <c r="F1" s="24" t="s">
        <v>4</v>
      </c>
      <c r="G1" s="24" t="s">
        <v>0</v>
      </c>
      <c r="H1" s="24" t="s">
        <v>0</v>
      </c>
      <c r="I1" s="24" t="s">
        <v>116</v>
      </c>
      <c r="M1" s="23" t="s">
        <v>91</v>
      </c>
      <c r="S1" s="1"/>
      <c r="T1" s="46" t="s">
        <v>1</v>
      </c>
      <c r="U1" s="46"/>
      <c r="V1" s="46" t="s">
        <v>2</v>
      </c>
      <c r="W1" s="46"/>
      <c r="X1" s="46" t="s">
        <v>3</v>
      </c>
      <c r="Y1" s="46"/>
      <c r="Z1" s="46" t="s">
        <v>2</v>
      </c>
      <c r="AA1" s="46"/>
      <c r="AB1" s="46" t="s">
        <v>4</v>
      </c>
      <c r="AC1" s="46"/>
      <c r="AD1" s="46" t="s">
        <v>0</v>
      </c>
      <c r="AE1" s="46"/>
      <c r="AF1" s="46" t="s">
        <v>0</v>
      </c>
      <c r="AG1" s="46"/>
      <c r="AI1" s="2" t="s">
        <v>6</v>
      </c>
      <c r="AL1" s="21" t="str">
        <f t="array" ref="AL1:AM284">Sheet1!A1:B282</f>
        <v>Employee name</v>
      </c>
      <c r="AM1" s="21" t="str">
        <v>Wage (€/h)</v>
      </c>
      <c r="AO1" s="15" t="str">
        <f>IF(ISBLANK(A2),"",A2)</f>
        <v>Aura</v>
      </c>
      <c r="AP1" s="18" t="s">
        <v>1</v>
      </c>
      <c r="AQ1" s="18" t="s">
        <v>2</v>
      </c>
      <c r="AR1" s="18" t="s">
        <v>3</v>
      </c>
      <c r="AS1" s="18" t="s">
        <v>2</v>
      </c>
      <c r="AT1" s="18" t="s">
        <v>4</v>
      </c>
      <c r="AU1" s="18" t="s">
        <v>0</v>
      </c>
      <c r="AV1" s="18" t="s">
        <v>0</v>
      </c>
      <c r="AW1" s="16" t="s">
        <v>8</v>
      </c>
    </row>
    <row r="2" spans="1:49">
      <c r="A2" s="25" t="s">
        <v>93</v>
      </c>
      <c r="B2" s="14" t="s">
        <v>115</v>
      </c>
      <c r="C2" s="14" t="s">
        <v>115</v>
      </c>
      <c r="D2" s="14" t="s">
        <v>115</v>
      </c>
      <c r="E2" s="14" t="s">
        <v>115</v>
      </c>
      <c r="F2" s="14" t="s">
        <v>115</v>
      </c>
      <c r="G2" s="14"/>
      <c r="H2" s="14"/>
      <c r="I2" s="43">
        <f>IF(OR(AW18=0,AW18=""),"",AW18)</f>
        <v>35</v>
      </c>
      <c r="M2" s="31" t="s">
        <v>67</v>
      </c>
      <c r="S2" s="15" t="str">
        <f>IF(ISBLANK(A2),"",A2)</f>
        <v>Aura</v>
      </c>
      <c r="T2" s="17">
        <v>7</v>
      </c>
      <c r="U2" s="17">
        <v>14</v>
      </c>
      <c r="V2" s="17">
        <v>7</v>
      </c>
      <c r="W2" s="17">
        <v>14</v>
      </c>
      <c r="X2" s="17">
        <v>7</v>
      </c>
      <c r="Y2" s="17">
        <v>14</v>
      </c>
      <c r="Z2" s="17">
        <v>7</v>
      </c>
      <c r="AA2" s="17">
        <v>14</v>
      </c>
      <c r="AB2" s="17">
        <v>7</v>
      </c>
      <c r="AC2" s="17">
        <v>14</v>
      </c>
      <c r="AD2" s="17"/>
      <c r="AE2" s="17"/>
      <c r="AF2" s="17"/>
      <c r="AG2" s="17"/>
      <c r="AI2" s="17">
        <f>IF(ISBLANK(A2),0,VLOOKUP(A2,$AL$2:$AM$106,2))</f>
        <v>12.82</v>
      </c>
      <c r="AL2" s="21" t="str">
        <v>ABDULFATAH</v>
      </c>
      <c r="AM2" s="21">
        <v>0</v>
      </c>
      <c r="AO2" s="19">
        <v>7</v>
      </c>
      <c r="AP2" s="20">
        <f t="shared" ref="AP2:AP17" si="0">IF(AND($AO2&gt;=$T$2,$AO2&lt;$U$2),1,0)</f>
        <v>1</v>
      </c>
      <c r="AQ2" s="20">
        <f t="shared" ref="AQ2:AQ17" si="1">IF(AND($AO2&gt;=$V$2,$AO2&lt;$W$2),1,0)</f>
        <v>1</v>
      </c>
      <c r="AR2" s="20">
        <f t="shared" ref="AR2:AR17" si="2">IF(AND($AO2&gt;=$X$2,$AO2&lt;$Y$2),1,0)</f>
        <v>1</v>
      </c>
      <c r="AS2" s="20">
        <f t="shared" ref="AS2:AS17" si="3">IF(AND($AO2&gt;=$Z$2,$AO2&lt;$AA$2),1,0)</f>
        <v>1</v>
      </c>
      <c r="AT2" s="20">
        <f t="shared" ref="AT2:AT17" si="4">IF(AND($AO2&gt;=$AB$2,$AO2&lt;$AC$2),1,0)</f>
        <v>1</v>
      </c>
      <c r="AU2" s="20">
        <f t="shared" ref="AU2:AU17" si="5">IF(AND($AO2&gt;=$AD$2,$AO2&lt;$AE$2),1,0)</f>
        <v>0</v>
      </c>
      <c r="AV2" s="20">
        <f t="shared" ref="AV2:AV17" si="6">IF(AND($AO2&gt;=$AF$2,$AO2&lt;$AG$2),1,0)</f>
        <v>0</v>
      </c>
      <c r="AW2" s="20">
        <f>SUM(AP2:AV2)</f>
        <v>5</v>
      </c>
    </row>
    <row r="3" spans="1:49">
      <c r="A3" s="25" t="s">
        <v>94</v>
      </c>
      <c r="B3" s="14" t="s">
        <v>114</v>
      </c>
      <c r="C3" s="14" t="s">
        <v>114</v>
      </c>
      <c r="D3" s="14" t="s">
        <v>114</v>
      </c>
      <c r="E3" s="14"/>
      <c r="F3" s="14"/>
      <c r="G3" s="14" t="s">
        <v>113</v>
      </c>
      <c r="H3" s="14" t="s">
        <v>111</v>
      </c>
      <c r="I3" s="43">
        <f>IF(OR(AW37=0,AW37=""),"",AW37)</f>
        <v>34</v>
      </c>
      <c r="M3" s="31" t="s">
        <v>58</v>
      </c>
      <c r="S3" s="15" t="str">
        <f t="shared" ref="S3:S16" si="7">IF(ISBLANK(A3),"",A3)</f>
        <v>Andrew</v>
      </c>
      <c r="T3" s="17">
        <v>11</v>
      </c>
      <c r="U3" s="17">
        <v>18</v>
      </c>
      <c r="V3" s="17">
        <v>11</v>
      </c>
      <c r="W3" s="17">
        <v>18</v>
      </c>
      <c r="X3" s="17">
        <v>11</v>
      </c>
      <c r="Y3" s="17">
        <v>18</v>
      </c>
      <c r="Z3" s="17"/>
      <c r="AA3" s="17"/>
      <c r="AB3" s="17"/>
      <c r="AC3" s="17"/>
      <c r="AD3" s="17">
        <v>8</v>
      </c>
      <c r="AE3" s="17">
        <v>15</v>
      </c>
      <c r="AF3" s="17">
        <v>9</v>
      </c>
      <c r="AG3" s="17">
        <v>15</v>
      </c>
      <c r="AI3" s="17">
        <f t="shared" ref="AI3:AI16" si="8">IF(ISBLANK(A3),0,VLOOKUP(A3,$AL$2:$AM$106,2))</f>
        <v>9.5500000000000007</v>
      </c>
      <c r="AL3" s="21" t="str">
        <v>AIDAN</v>
      </c>
      <c r="AM3" s="21">
        <v>10</v>
      </c>
      <c r="AO3" s="19">
        <v>8</v>
      </c>
      <c r="AP3" s="20">
        <f t="shared" si="0"/>
        <v>1</v>
      </c>
      <c r="AQ3" s="20">
        <f t="shared" si="1"/>
        <v>1</v>
      </c>
      <c r="AR3" s="20">
        <f t="shared" si="2"/>
        <v>1</v>
      </c>
      <c r="AS3" s="20">
        <f t="shared" si="3"/>
        <v>1</v>
      </c>
      <c r="AT3" s="20">
        <f t="shared" si="4"/>
        <v>1</v>
      </c>
      <c r="AU3" s="20">
        <f t="shared" si="5"/>
        <v>0</v>
      </c>
      <c r="AV3" s="20">
        <f t="shared" si="6"/>
        <v>0</v>
      </c>
      <c r="AW3" s="20">
        <f t="shared" ref="AW3:AW17" si="9">SUM(AP3:AV3)</f>
        <v>5</v>
      </c>
    </row>
    <row r="4" spans="1:49">
      <c r="A4" s="25" t="s">
        <v>95</v>
      </c>
      <c r="B4" s="14" t="s">
        <v>96</v>
      </c>
      <c r="C4" s="14" t="s">
        <v>96</v>
      </c>
      <c r="D4" s="14" t="s">
        <v>96</v>
      </c>
      <c r="E4" s="14" t="s">
        <v>96</v>
      </c>
      <c r="F4" s="14" t="s">
        <v>96</v>
      </c>
      <c r="G4" s="14"/>
      <c r="H4" s="14"/>
      <c r="I4" s="43">
        <f>IF(OR(AW56=0,AW56=""),"",AW56)</f>
        <v>40</v>
      </c>
      <c r="M4" s="31" t="s">
        <v>10</v>
      </c>
      <c r="S4" s="15" t="str">
        <f t="shared" si="7"/>
        <v>ingrida</v>
      </c>
      <c r="T4" s="17">
        <v>9</v>
      </c>
      <c r="U4" s="17">
        <v>17</v>
      </c>
      <c r="V4" s="17">
        <v>9</v>
      </c>
      <c r="W4" s="17">
        <v>17</v>
      </c>
      <c r="X4" s="17">
        <v>9</v>
      </c>
      <c r="Y4" s="17">
        <v>17</v>
      </c>
      <c r="Z4" s="17">
        <v>9</v>
      </c>
      <c r="AA4" s="17">
        <v>17</v>
      </c>
      <c r="AB4" s="17">
        <v>9</v>
      </c>
      <c r="AC4" s="17">
        <v>17</v>
      </c>
      <c r="AD4" s="17"/>
      <c r="AE4" s="17"/>
      <c r="AF4" s="17"/>
      <c r="AG4" s="17"/>
      <c r="AI4" s="17">
        <f t="shared" si="8"/>
        <v>9.5500000000000007</v>
      </c>
      <c r="AL4" s="21" t="str">
        <v>ALFIE</v>
      </c>
      <c r="AM4" s="21">
        <v>15</v>
      </c>
      <c r="AO4" s="19">
        <v>9</v>
      </c>
      <c r="AP4" s="20">
        <f t="shared" si="0"/>
        <v>1</v>
      </c>
      <c r="AQ4" s="20">
        <f t="shared" si="1"/>
        <v>1</v>
      </c>
      <c r="AR4" s="20">
        <f t="shared" si="2"/>
        <v>1</v>
      </c>
      <c r="AS4" s="20">
        <f t="shared" si="3"/>
        <v>1</v>
      </c>
      <c r="AT4" s="20">
        <f t="shared" si="4"/>
        <v>1</v>
      </c>
      <c r="AU4" s="20">
        <f t="shared" si="5"/>
        <v>0</v>
      </c>
      <c r="AV4" s="20">
        <f t="shared" si="6"/>
        <v>0</v>
      </c>
      <c r="AW4" s="20">
        <f t="shared" si="9"/>
        <v>5</v>
      </c>
    </row>
    <row r="5" spans="1:49">
      <c r="A5" s="25" t="s">
        <v>97</v>
      </c>
      <c r="B5" s="14"/>
      <c r="C5" s="14"/>
      <c r="D5" s="14"/>
      <c r="E5" s="14" t="s">
        <v>88</v>
      </c>
      <c r="F5" s="14" t="s">
        <v>88</v>
      </c>
      <c r="G5" s="14" t="s">
        <v>88</v>
      </c>
      <c r="H5" s="14" t="s">
        <v>112</v>
      </c>
      <c r="I5" s="43">
        <f>IF(OR(AW75=0,AW75=""),"",AW75)</f>
        <v>31</v>
      </c>
      <c r="M5" s="31" t="s">
        <v>22</v>
      </c>
      <c r="S5" s="15" t="str">
        <f t="shared" si="7"/>
        <v>brian</v>
      </c>
      <c r="T5" s="17"/>
      <c r="U5" s="17"/>
      <c r="V5" s="17"/>
      <c r="W5" s="17"/>
      <c r="X5" s="17"/>
      <c r="Y5" s="17"/>
      <c r="Z5" s="17">
        <v>10</v>
      </c>
      <c r="AA5" s="17">
        <v>18</v>
      </c>
      <c r="AB5" s="17">
        <v>10</v>
      </c>
      <c r="AC5" s="17">
        <v>18</v>
      </c>
      <c r="AD5" s="17">
        <v>10</v>
      </c>
      <c r="AE5" s="17">
        <v>18</v>
      </c>
      <c r="AF5" s="17">
        <v>10</v>
      </c>
      <c r="AG5" s="17">
        <v>17</v>
      </c>
      <c r="AI5" s="17">
        <f t="shared" si="8"/>
        <v>9.5500000000000007</v>
      </c>
      <c r="AL5" s="21" t="str">
        <v>ANDREW</v>
      </c>
      <c r="AM5" s="21">
        <v>9.5500000000000007</v>
      </c>
      <c r="AO5" s="19">
        <v>10</v>
      </c>
      <c r="AP5" s="20">
        <f t="shared" si="0"/>
        <v>1</v>
      </c>
      <c r="AQ5" s="20">
        <f t="shared" si="1"/>
        <v>1</v>
      </c>
      <c r="AR5" s="20">
        <f t="shared" si="2"/>
        <v>1</v>
      </c>
      <c r="AS5" s="20">
        <f>IF(AND($AO5&gt;=$Z$2,$AO5&lt;$AA$2),1,0)</f>
        <v>1</v>
      </c>
      <c r="AT5" s="20">
        <f t="shared" si="4"/>
        <v>1</v>
      </c>
      <c r="AU5" s="20">
        <f t="shared" si="5"/>
        <v>0</v>
      </c>
      <c r="AV5" s="20">
        <f t="shared" si="6"/>
        <v>0</v>
      </c>
      <c r="AW5" s="20">
        <f t="shared" si="9"/>
        <v>5</v>
      </c>
    </row>
    <row r="6" spans="1:49">
      <c r="A6" s="25" t="s">
        <v>110</v>
      </c>
      <c r="B6" s="14"/>
      <c r="C6" s="14"/>
      <c r="D6" s="14"/>
      <c r="E6" s="14"/>
      <c r="F6" s="14"/>
      <c r="G6" s="14" t="s">
        <v>96</v>
      </c>
      <c r="H6" s="14" t="s">
        <v>114</v>
      </c>
      <c r="I6" s="43">
        <f>IF(OR(AW94=0,AW94=""),"",AW94)</f>
        <v>15</v>
      </c>
      <c r="M6" s="31" t="s">
        <v>5</v>
      </c>
      <c r="S6" s="15" t="str">
        <f t="shared" si="7"/>
        <v>gemma</v>
      </c>
      <c r="T6" s="17"/>
      <c r="U6" s="17"/>
      <c r="V6" s="17"/>
      <c r="W6" s="17"/>
      <c r="X6" s="17"/>
      <c r="Y6" s="17"/>
      <c r="Z6" s="17"/>
      <c r="AA6" s="17"/>
      <c r="AB6" s="17"/>
      <c r="AC6" s="17"/>
      <c r="AD6" s="17">
        <v>9</v>
      </c>
      <c r="AE6" s="17">
        <v>17</v>
      </c>
      <c r="AF6" s="17">
        <v>11</v>
      </c>
      <c r="AG6" s="17">
        <v>18</v>
      </c>
      <c r="AI6" s="17">
        <f t="shared" si="8"/>
        <v>9.75</v>
      </c>
      <c r="AL6" s="21" t="str">
        <v>ANETA</v>
      </c>
      <c r="AM6" s="21">
        <v>11.9</v>
      </c>
      <c r="AO6" s="19">
        <v>11</v>
      </c>
      <c r="AP6" s="20">
        <f t="shared" si="0"/>
        <v>1</v>
      </c>
      <c r="AQ6" s="20">
        <f t="shared" si="1"/>
        <v>1</v>
      </c>
      <c r="AR6" s="20">
        <f t="shared" si="2"/>
        <v>1</v>
      </c>
      <c r="AS6" s="20">
        <f t="shared" si="3"/>
        <v>1</v>
      </c>
      <c r="AT6" s="20">
        <f t="shared" si="4"/>
        <v>1</v>
      </c>
      <c r="AU6" s="20">
        <f t="shared" si="5"/>
        <v>0</v>
      </c>
      <c r="AV6" s="20">
        <f t="shared" si="6"/>
        <v>0</v>
      </c>
      <c r="AW6" s="20">
        <f t="shared" si="9"/>
        <v>5</v>
      </c>
    </row>
    <row r="7" spans="1:49">
      <c r="A7" s="25"/>
      <c r="B7" s="14"/>
      <c r="C7" s="14"/>
      <c r="D7" s="14"/>
      <c r="E7" s="14"/>
      <c r="F7" s="14"/>
      <c r="G7" s="14"/>
      <c r="H7" s="14"/>
      <c r="I7" s="43" t="str">
        <f>IF(OR(AW113=0,AW113=""),"",AW113)</f>
        <v/>
      </c>
      <c r="K7" s="35" t="s">
        <v>85</v>
      </c>
      <c r="M7" s="31" t="s">
        <v>9</v>
      </c>
      <c r="S7" s="15" t="str">
        <f t="shared" si="7"/>
        <v/>
      </c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I7" s="17">
        <f t="shared" si="8"/>
        <v>0</v>
      </c>
      <c r="AL7" s="21" t="str">
        <v>ANNA</v>
      </c>
      <c r="AM7" s="21">
        <v>0</v>
      </c>
      <c r="AO7" s="19">
        <v>12</v>
      </c>
      <c r="AP7" s="20">
        <f t="shared" si="0"/>
        <v>1</v>
      </c>
      <c r="AQ7" s="20">
        <f t="shared" si="1"/>
        <v>1</v>
      </c>
      <c r="AR7" s="20">
        <f t="shared" si="2"/>
        <v>1</v>
      </c>
      <c r="AS7" s="20">
        <f t="shared" si="3"/>
        <v>1</v>
      </c>
      <c r="AT7" s="20">
        <f t="shared" si="4"/>
        <v>1</v>
      </c>
      <c r="AU7" s="20">
        <f t="shared" si="5"/>
        <v>0</v>
      </c>
      <c r="AV7" s="20">
        <f t="shared" si="6"/>
        <v>0</v>
      </c>
      <c r="AW7" s="20">
        <f t="shared" si="9"/>
        <v>5</v>
      </c>
    </row>
    <row r="8" spans="1:49">
      <c r="A8" s="26"/>
      <c r="B8" s="14"/>
      <c r="C8" s="14"/>
      <c r="D8" s="14"/>
      <c r="E8" s="14"/>
      <c r="F8" s="14"/>
      <c r="G8" s="14"/>
      <c r="H8" s="14"/>
      <c r="I8" s="43" t="str">
        <f>IF(OR(AW132=0,AW132=""),"",AW132)</f>
        <v/>
      </c>
      <c r="K8" s="36" t="s">
        <v>108</v>
      </c>
      <c r="M8" s="31" t="s">
        <v>45</v>
      </c>
      <c r="S8" s="15" t="str">
        <f t="shared" si="7"/>
        <v/>
      </c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I8" s="17">
        <f t="shared" si="8"/>
        <v>0</v>
      </c>
      <c r="AL8" s="21" t="str">
        <v>AURA</v>
      </c>
      <c r="AM8" s="21">
        <v>12.82</v>
      </c>
      <c r="AO8" s="19">
        <v>13</v>
      </c>
      <c r="AP8" s="20">
        <f t="shared" si="0"/>
        <v>1</v>
      </c>
      <c r="AQ8" s="20">
        <f t="shared" si="1"/>
        <v>1</v>
      </c>
      <c r="AR8" s="20">
        <f t="shared" si="2"/>
        <v>1</v>
      </c>
      <c r="AS8" s="20">
        <f t="shared" si="3"/>
        <v>1</v>
      </c>
      <c r="AT8" s="20">
        <f t="shared" si="4"/>
        <v>1</v>
      </c>
      <c r="AU8" s="20">
        <f t="shared" si="5"/>
        <v>0</v>
      </c>
      <c r="AV8" s="20">
        <f t="shared" si="6"/>
        <v>0</v>
      </c>
      <c r="AW8" s="20">
        <f t="shared" si="9"/>
        <v>5</v>
      </c>
    </row>
    <row r="9" spans="1:49">
      <c r="A9" s="26"/>
      <c r="B9" s="14"/>
      <c r="C9" s="14"/>
      <c r="D9" s="14"/>
      <c r="E9" s="14"/>
      <c r="F9" s="14"/>
      <c r="G9" s="14"/>
      <c r="H9" s="14"/>
      <c r="I9" s="43" t="str">
        <f>IF(OR(AW151=0,AW151=""),"",AW151)</f>
        <v/>
      </c>
      <c r="M9" s="31" t="s">
        <v>17</v>
      </c>
      <c r="S9" s="15" t="str">
        <f t="shared" si="7"/>
        <v/>
      </c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I9" s="17">
        <f t="shared" si="8"/>
        <v>0</v>
      </c>
      <c r="AL9" s="21" t="str">
        <v>BARTOSZ</v>
      </c>
      <c r="AM9" s="21">
        <v>0</v>
      </c>
      <c r="AO9" s="19">
        <v>14</v>
      </c>
      <c r="AP9" s="20">
        <f t="shared" si="0"/>
        <v>0</v>
      </c>
      <c r="AQ9" s="20">
        <f t="shared" si="1"/>
        <v>0</v>
      </c>
      <c r="AR9" s="20">
        <f t="shared" si="2"/>
        <v>0</v>
      </c>
      <c r="AS9" s="20">
        <f t="shared" si="3"/>
        <v>0</v>
      </c>
      <c r="AT9" s="20">
        <f t="shared" si="4"/>
        <v>0</v>
      </c>
      <c r="AU9" s="20">
        <f t="shared" si="5"/>
        <v>0</v>
      </c>
      <c r="AV9" s="20">
        <f t="shared" si="6"/>
        <v>0</v>
      </c>
      <c r="AW9" s="20">
        <f t="shared" si="9"/>
        <v>0</v>
      </c>
    </row>
    <row r="10" spans="1:49">
      <c r="A10" s="26"/>
      <c r="B10" s="14"/>
      <c r="C10" s="14"/>
      <c r="D10" s="14"/>
      <c r="E10" s="14"/>
      <c r="F10" s="14"/>
      <c r="G10" s="14"/>
      <c r="H10" s="14"/>
      <c r="I10" s="43" t="str">
        <f>IF(OR(AW170=0,AW170=""),"",AW170)</f>
        <v/>
      </c>
      <c r="K10" s="35" t="s">
        <v>89</v>
      </c>
      <c r="M10" s="31" t="s">
        <v>38</v>
      </c>
      <c r="S10" s="15" t="str">
        <f t="shared" si="7"/>
        <v/>
      </c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I10" s="17">
        <f t="shared" si="8"/>
        <v>0</v>
      </c>
      <c r="AL10" s="21" t="str">
        <v>BRIAN</v>
      </c>
      <c r="AM10" s="21">
        <v>9.5500000000000007</v>
      </c>
      <c r="AO10" s="19">
        <v>15</v>
      </c>
      <c r="AP10" s="20">
        <f t="shared" si="0"/>
        <v>0</v>
      </c>
      <c r="AQ10" s="20">
        <f t="shared" si="1"/>
        <v>0</v>
      </c>
      <c r="AR10" s="20">
        <f t="shared" si="2"/>
        <v>0</v>
      </c>
      <c r="AS10" s="20">
        <f t="shared" si="3"/>
        <v>0</v>
      </c>
      <c r="AT10" s="20">
        <f t="shared" si="4"/>
        <v>0</v>
      </c>
      <c r="AU10" s="20">
        <f t="shared" si="5"/>
        <v>0</v>
      </c>
      <c r="AV10" s="20">
        <f t="shared" si="6"/>
        <v>0</v>
      </c>
      <c r="AW10" s="20">
        <f t="shared" si="9"/>
        <v>0</v>
      </c>
    </row>
    <row r="11" spans="1:49">
      <c r="A11" s="26"/>
      <c r="B11" s="14"/>
      <c r="C11" s="14"/>
      <c r="D11" s="14"/>
      <c r="E11" s="14"/>
      <c r="F11" s="14"/>
      <c r="G11" s="14"/>
      <c r="H11" s="14"/>
      <c r="I11" s="43" t="str">
        <f>IF(OR(AW189=0,AW189=""),"",AW189)</f>
        <v/>
      </c>
      <c r="K11" s="36" t="s">
        <v>109</v>
      </c>
      <c r="M11" s="31" t="s">
        <v>24</v>
      </c>
      <c r="S11" s="15" t="str">
        <f t="shared" si="7"/>
        <v/>
      </c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I11" s="17">
        <f t="shared" si="8"/>
        <v>0</v>
      </c>
      <c r="AL11" s="21" t="str">
        <v>CAITLIN</v>
      </c>
      <c r="AM11" s="21">
        <v>0</v>
      </c>
      <c r="AO11" s="19">
        <v>16</v>
      </c>
      <c r="AP11" s="20">
        <f t="shared" si="0"/>
        <v>0</v>
      </c>
      <c r="AQ11" s="20">
        <f t="shared" si="1"/>
        <v>0</v>
      </c>
      <c r="AR11" s="20">
        <f t="shared" si="2"/>
        <v>0</v>
      </c>
      <c r="AS11" s="20">
        <f t="shared" si="3"/>
        <v>0</v>
      </c>
      <c r="AT11" s="20">
        <f t="shared" si="4"/>
        <v>0</v>
      </c>
      <c r="AU11" s="20">
        <f t="shared" si="5"/>
        <v>0</v>
      </c>
      <c r="AV11" s="20">
        <f t="shared" si="6"/>
        <v>0</v>
      </c>
      <c r="AW11" s="20">
        <f t="shared" si="9"/>
        <v>0</v>
      </c>
    </row>
    <row r="12" spans="1:49">
      <c r="A12" s="26"/>
      <c r="B12" s="14"/>
      <c r="C12" s="14"/>
      <c r="D12" s="14"/>
      <c r="E12" s="14"/>
      <c r="F12" s="14"/>
      <c r="G12" s="14"/>
      <c r="H12" s="14"/>
      <c r="I12" s="43" t="str">
        <f>IF(OR(AW208=0,AW208=""),"",AW208)</f>
        <v/>
      </c>
      <c r="M12" s="31" t="s">
        <v>31</v>
      </c>
      <c r="S12" s="15" t="str">
        <f t="shared" si="7"/>
        <v/>
      </c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I12" s="17">
        <f t="shared" si="8"/>
        <v>0</v>
      </c>
      <c r="AL12" s="21" t="str">
        <v>CHLOE</v>
      </c>
      <c r="AM12" s="21">
        <v>9.5500000000000007</v>
      </c>
      <c r="AO12" s="19">
        <v>17</v>
      </c>
      <c r="AP12" s="20">
        <f t="shared" si="0"/>
        <v>0</v>
      </c>
      <c r="AQ12" s="20">
        <f t="shared" si="1"/>
        <v>0</v>
      </c>
      <c r="AR12" s="20">
        <f t="shared" si="2"/>
        <v>0</v>
      </c>
      <c r="AS12" s="20">
        <f t="shared" si="3"/>
        <v>0</v>
      </c>
      <c r="AT12" s="20">
        <f t="shared" si="4"/>
        <v>0</v>
      </c>
      <c r="AU12" s="20">
        <f t="shared" si="5"/>
        <v>0</v>
      </c>
      <c r="AV12" s="20">
        <f t="shared" si="6"/>
        <v>0</v>
      </c>
      <c r="AW12" s="20">
        <f t="shared" si="9"/>
        <v>0</v>
      </c>
    </row>
    <row r="13" spans="1:49">
      <c r="A13" s="26"/>
      <c r="B13" s="14"/>
      <c r="C13" s="14"/>
      <c r="D13" s="14"/>
      <c r="E13" s="14"/>
      <c r="F13" s="14"/>
      <c r="G13" s="14"/>
      <c r="H13" s="14"/>
      <c r="I13" s="43" t="str">
        <f>IF(OR(AW227=0,AW227=""),"",AW227)</f>
        <v/>
      </c>
      <c r="K13" s="35" t="s">
        <v>90</v>
      </c>
      <c r="M13" s="31" t="s">
        <v>11</v>
      </c>
      <c r="S13" s="15" t="str">
        <f t="shared" si="7"/>
        <v/>
      </c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I13" s="17">
        <f t="shared" si="8"/>
        <v>0</v>
      </c>
      <c r="AL13" s="21" t="str">
        <v>CIARA</v>
      </c>
      <c r="AM13" s="21">
        <v>0</v>
      </c>
      <c r="AO13" s="19">
        <v>18</v>
      </c>
      <c r="AP13" s="20">
        <f t="shared" si="0"/>
        <v>0</v>
      </c>
      <c r="AQ13" s="20">
        <f t="shared" si="1"/>
        <v>0</v>
      </c>
      <c r="AR13" s="20">
        <f t="shared" si="2"/>
        <v>0</v>
      </c>
      <c r="AS13" s="20">
        <f t="shared" si="3"/>
        <v>0</v>
      </c>
      <c r="AT13" s="20">
        <f t="shared" si="4"/>
        <v>0</v>
      </c>
      <c r="AU13" s="20">
        <f t="shared" si="5"/>
        <v>0</v>
      </c>
      <c r="AV13" s="20">
        <f t="shared" si="6"/>
        <v>0</v>
      </c>
      <c r="AW13" s="20">
        <f t="shared" si="9"/>
        <v>0</v>
      </c>
    </row>
    <row r="14" spans="1:49">
      <c r="A14" s="26"/>
      <c r="B14" s="14"/>
      <c r="C14" s="14"/>
      <c r="D14" s="14"/>
      <c r="E14" s="14"/>
      <c r="F14" s="14"/>
      <c r="G14" s="14"/>
      <c r="H14" s="14"/>
      <c r="I14" s="43" t="str">
        <f>IF(OR(AW246=0,AW246=""),"",AW246)</f>
        <v/>
      </c>
      <c r="K14" s="41">
        <v>43360</v>
      </c>
      <c r="M14" s="31" t="s">
        <v>12</v>
      </c>
      <c r="S14" s="15" t="str">
        <f t="shared" si="7"/>
        <v/>
      </c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I14" s="17">
        <f t="shared" si="8"/>
        <v>0</v>
      </c>
      <c r="AL14" s="21" t="str">
        <v>COLM</v>
      </c>
      <c r="AM14" s="21">
        <v>0</v>
      </c>
      <c r="AO14" s="19">
        <v>19</v>
      </c>
      <c r="AP14" s="20">
        <f t="shared" si="0"/>
        <v>0</v>
      </c>
      <c r="AQ14" s="20">
        <f t="shared" si="1"/>
        <v>0</v>
      </c>
      <c r="AR14" s="20">
        <f t="shared" si="2"/>
        <v>0</v>
      </c>
      <c r="AS14" s="20">
        <f t="shared" si="3"/>
        <v>0</v>
      </c>
      <c r="AT14" s="20">
        <f t="shared" si="4"/>
        <v>0</v>
      </c>
      <c r="AU14" s="20">
        <f t="shared" si="5"/>
        <v>0</v>
      </c>
      <c r="AV14" s="20">
        <f t="shared" si="6"/>
        <v>0</v>
      </c>
      <c r="AW14" s="20">
        <f t="shared" si="9"/>
        <v>0</v>
      </c>
    </row>
    <row r="15" spans="1:49">
      <c r="A15" s="26"/>
      <c r="B15" s="14"/>
      <c r="C15" s="14"/>
      <c r="D15" s="14"/>
      <c r="E15" s="14"/>
      <c r="F15" s="14"/>
      <c r="G15" s="14"/>
      <c r="H15" s="14"/>
      <c r="I15" s="43" t="str">
        <f>IF(OR(AW265=0,AW265=""),"",AW265)</f>
        <v/>
      </c>
      <c r="M15" s="31" t="s">
        <v>28</v>
      </c>
      <c r="S15" s="15" t="str">
        <f t="shared" si="7"/>
        <v/>
      </c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I15" s="17">
        <f t="shared" si="8"/>
        <v>0</v>
      </c>
      <c r="AL15" s="21" t="str">
        <v>CONVERY</v>
      </c>
      <c r="AM15" s="21">
        <v>9.5500000000000007</v>
      </c>
      <c r="AO15" s="19">
        <v>20</v>
      </c>
      <c r="AP15" s="20">
        <f t="shared" si="0"/>
        <v>0</v>
      </c>
      <c r="AQ15" s="20">
        <f t="shared" si="1"/>
        <v>0</v>
      </c>
      <c r="AR15" s="20">
        <f t="shared" si="2"/>
        <v>0</v>
      </c>
      <c r="AS15" s="20">
        <f t="shared" si="3"/>
        <v>0</v>
      </c>
      <c r="AT15" s="20">
        <f t="shared" si="4"/>
        <v>0</v>
      </c>
      <c r="AU15" s="20">
        <f t="shared" si="5"/>
        <v>0</v>
      </c>
      <c r="AV15" s="20">
        <f t="shared" si="6"/>
        <v>0</v>
      </c>
      <c r="AW15" s="20">
        <f t="shared" si="9"/>
        <v>0</v>
      </c>
    </row>
    <row r="16" spans="1:49">
      <c r="A16" s="26"/>
      <c r="B16" s="14"/>
      <c r="C16" s="14"/>
      <c r="D16" s="14"/>
      <c r="E16" s="14"/>
      <c r="F16" s="14"/>
      <c r="G16" s="14"/>
      <c r="H16" s="14"/>
      <c r="I16" s="43" t="str">
        <f>IF(OR(AW284=0,AW284=""),"",AW284)</f>
        <v/>
      </c>
      <c r="M16" s="31" t="s">
        <v>27</v>
      </c>
      <c r="S16" s="15" t="str">
        <f t="shared" si="7"/>
        <v/>
      </c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I16" s="17">
        <f t="shared" si="8"/>
        <v>0</v>
      </c>
      <c r="AL16" s="21" t="str">
        <v>DAVE</v>
      </c>
      <c r="AM16" s="21">
        <v>9.5500000000000007</v>
      </c>
      <c r="AO16" s="19">
        <v>21</v>
      </c>
      <c r="AP16" s="20">
        <f t="shared" si="0"/>
        <v>0</v>
      </c>
      <c r="AQ16" s="20">
        <f t="shared" si="1"/>
        <v>0</v>
      </c>
      <c r="AR16" s="20">
        <f t="shared" si="2"/>
        <v>0</v>
      </c>
      <c r="AS16" s="20">
        <f t="shared" si="3"/>
        <v>0</v>
      </c>
      <c r="AT16" s="20">
        <f t="shared" si="4"/>
        <v>0</v>
      </c>
      <c r="AU16" s="20">
        <f t="shared" si="5"/>
        <v>0</v>
      </c>
      <c r="AV16" s="20">
        <f t="shared" si="6"/>
        <v>0</v>
      </c>
      <c r="AW16" s="20">
        <f t="shared" si="9"/>
        <v>0</v>
      </c>
    </row>
    <row r="17" spans="1:53">
      <c r="D17" s="3"/>
      <c r="M17" s="31" t="s">
        <v>30</v>
      </c>
      <c r="AL17" s="21" t="str">
        <v>ELAINE</v>
      </c>
      <c r="AM17" s="21">
        <v>9.5500000000000007</v>
      </c>
      <c r="AO17" s="19">
        <v>22</v>
      </c>
      <c r="AP17" s="20">
        <f t="shared" si="0"/>
        <v>0</v>
      </c>
      <c r="AQ17" s="20">
        <f t="shared" si="1"/>
        <v>0</v>
      </c>
      <c r="AR17" s="20">
        <f t="shared" si="2"/>
        <v>0</v>
      </c>
      <c r="AS17" s="20">
        <f t="shared" si="3"/>
        <v>0</v>
      </c>
      <c r="AT17" s="20">
        <f t="shared" si="4"/>
        <v>0</v>
      </c>
      <c r="AU17" s="20">
        <f t="shared" si="5"/>
        <v>0</v>
      </c>
      <c r="AV17" s="20">
        <f t="shared" si="6"/>
        <v>0</v>
      </c>
      <c r="AW17" s="20">
        <f t="shared" si="9"/>
        <v>0</v>
      </c>
    </row>
    <row r="18" spans="1:53">
      <c r="A18" s="28"/>
      <c r="K18" s="35">
        <f>IF(AND(K8="Sitting Duck",K11="Floor"),Sheet2!B5,IF(AND(K8="Sitting Duck",K11="Kitchen"),Sheet2!B2,IF(AND(K8="Full Duck",K11="Floor"),Sheet2!B6,IF(AND(K8="Full Duck",K11="Kitchen"),Sheet2!B3,IF(AND(K8="Wilde's on the Bay",K11="Floor"),Sheet2!B7,Sheet2!B4)))))</f>
        <v>1600</v>
      </c>
      <c r="M18" s="31" t="s">
        <v>21</v>
      </c>
      <c r="AL18" s="21" t="str">
        <v>EMMA</v>
      </c>
      <c r="AM18" s="21">
        <v>12</v>
      </c>
      <c r="AO18" s="16" t="s">
        <v>7</v>
      </c>
      <c r="AP18" s="20">
        <f t="shared" ref="AP18:AV18" si="10">SUM(AP2:AP12)</f>
        <v>7</v>
      </c>
      <c r="AQ18" s="20">
        <f t="shared" si="10"/>
        <v>7</v>
      </c>
      <c r="AR18" s="20">
        <f t="shared" si="10"/>
        <v>7</v>
      </c>
      <c r="AS18" s="20">
        <f t="shared" si="10"/>
        <v>7</v>
      </c>
      <c r="AT18" s="20">
        <f t="shared" si="10"/>
        <v>7</v>
      </c>
      <c r="AU18" s="20">
        <f t="shared" si="10"/>
        <v>0</v>
      </c>
      <c r="AV18" s="20">
        <f t="shared" si="10"/>
        <v>0</v>
      </c>
      <c r="AW18" s="20">
        <f>SUM(AP18:AV18)</f>
        <v>35</v>
      </c>
    </row>
    <row r="19" spans="1:53" ht="14.4" customHeight="1">
      <c r="K19" s="44" t="s">
        <v>105</v>
      </c>
      <c r="M19" s="31" t="s">
        <v>47</v>
      </c>
      <c r="AL19" s="21" t="str">
        <v>ESMA</v>
      </c>
      <c r="AM19" s="21">
        <v>0</v>
      </c>
      <c r="AO19" s="21"/>
      <c r="AP19" s="21"/>
      <c r="AQ19" s="21"/>
      <c r="AR19" s="21"/>
      <c r="AS19" s="21"/>
      <c r="AT19" s="21"/>
      <c r="AU19" s="21"/>
      <c r="AV19" s="21"/>
      <c r="AW19" s="21"/>
      <c r="BA19" s="29"/>
    </row>
    <row r="20" spans="1:53">
      <c r="A20" s="1"/>
      <c r="B20" s="34" t="s">
        <v>1</v>
      </c>
      <c r="C20" s="34" t="s">
        <v>2</v>
      </c>
      <c r="D20" s="34" t="s">
        <v>3</v>
      </c>
      <c r="E20" s="34" t="s">
        <v>2</v>
      </c>
      <c r="F20" s="34" t="s">
        <v>4</v>
      </c>
      <c r="G20" s="34" t="s">
        <v>0</v>
      </c>
      <c r="H20" s="34" t="s">
        <v>0</v>
      </c>
      <c r="I20" s="39" t="s">
        <v>8</v>
      </c>
      <c r="J20" s="42"/>
      <c r="K20" s="45"/>
      <c r="M20" s="31" t="s">
        <v>40</v>
      </c>
      <c r="R20" s="5"/>
      <c r="S20" s="6"/>
      <c r="AL20" s="21" t="str">
        <v>FINN</v>
      </c>
      <c r="AM20" s="21">
        <v>0</v>
      </c>
      <c r="AO20" s="15" t="str">
        <f>IF(ISBLANK(A3),"",A3)</f>
        <v>Andrew</v>
      </c>
      <c r="AP20" s="18" t="s">
        <v>1</v>
      </c>
      <c r="AQ20" s="18" t="s">
        <v>2</v>
      </c>
      <c r="AR20" s="18" t="s">
        <v>3</v>
      </c>
      <c r="AS20" s="18" t="s">
        <v>2</v>
      </c>
      <c r="AT20" s="18" t="s">
        <v>4</v>
      </c>
      <c r="AU20" s="18" t="s">
        <v>0</v>
      </c>
      <c r="AV20" s="18" t="s">
        <v>0</v>
      </c>
      <c r="AW20" s="16" t="s">
        <v>8</v>
      </c>
    </row>
    <row r="21" spans="1:53">
      <c r="A21" s="27">
        <v>0.29166666666666669</v>
      </c>
      <c r="B21" s="30">
        <f t="shared" ref="B21:B36" si="11">AP2*$AI$2+AP21*$AI$3+AP40*$AI$4+AP59*$AI$5+AP78*$AI$6+AP97*$AI$7+AP116*$AI$8+AP135*$AI$9+AP154*$AI$10+AP173*$AI$11+AP192*$AI$12+AP211*$AI$13+AP230*$AI$14+AP249*$AI$15+AP268*$AI$16</f>
        <v>12.82</v>
      </c>
      <c r="C21" s="30">
        <f t="shared" ref="C21:C36" si="12">AQ2*$AI$2+AQ21*$AI$3+AQ40*$AI$4+AQ59*$AI$5+AQ78*$AI$6+AQ97*$AI$7+AQ116*$AI$8+AQ135*$AI$9+AQ154*$AI$10+AQ173*$AI$11+AQ192*$AI$12+AQ211*$AI$13+AQ230*$AI$14+AQ249*$AI$15+AQ268*$AI$16</f>
        <v>12.82</v>
      </c>
      <c r="D21" s="30">
        <f t="shared" ref="D21:D36" si="13">AR2*$AI$2+AR21*$AI$3+AR40*$AI$4+AR59*$AI$5+AR78*$AI$6+AR97*$AI$7+AR116*$AI$8+AR135*$AI$9+AR154*$AI$10+AR173*$AI$11+AR192*$AI$12+AR211*$AI$13+AR230*$AI$14+AR249*$AI$15+AR268*$AI$16</f>
        <v>12.82</v>
      </c>
      <c r="E21" s="30">
        <f t="shared" ref="E21:E36" si="14">AS2*$AI$2+AS21*$AI$3+AS40*$AI$4+AS59*$AI$5+AS78*$AI$6+AS97*$AI$7+AS116*$AI$8+AS135*$AI$9+AS154*$AI$10+AS173*$AI$11+AS192*$AI$12+AS211*$AI$13+AS230*$AI$14+AS249*$AI$15+AS268*$AI$16</f>
        <v>12.82</v>
      </c>
      <c r="F21" s="30">
        <f t="shared" ref="F21:F36" si="15">AT2*$AI$2+AT21*$AI$3+AT40*$AI$4+AT59*$AI$5+AT78*$AI$6+AT97*$AI$7+AT116*$AI$8+AT135*$AI$9+AT154*$AI$10+AT173*$AI$11+AT192*$AI$12+AT211*$AI$13+AT230*$AI$14+AT249*$AI$15+AT268*$AI$16</f>
        <v>12.82</v>
      </c>
      <c r="G21" s="30">
        <f t="shared" ref="G21:G36" si="16">AU2*$AI$2+AU21*$AI$3+AU40*$AI$4+AU59*$AI$5+AU78*$AI$6+AU97*$AI$7+AU116*$AI$8+AU135*$AI$9+AU154*$AI$10+AU173*$AI$11+AU192*$AI$12+AU211*$AI$13+AU230*$AI$14+AU249*$AI$15+AU268*$AI$16</f>
        <v>0</v>
      </c>
      <c r="H21" s="30">
        <f t="shared" ref="H21:H36" si="17">AV2*$AI$2+AV21*$AI$3+AV40*$AI$4+AV59*$AI$5+AV78*$AI$6+AV97*$AI$7+AV116*$AI$8+AV135*$AI$9+AV154*$AI$10+AV173*$AI$11+AV192*$AI$12+AV211*$AI$13+AV230*$AI$14+AV249*$AI$15+AV268*$AI$16</f>
        <v>0</v>
      </c>
      <c r="I21" s="38">
        <f t="shared" ref="I21:I37" si="18">SUM(B21:H21)</f>
        <v>64.099999999999994</v>
      </c>
      <c r="M21" s="31" t="s">
        <v>53</v>
      </c>
      <c r="R21" s="7"/>
      <c r="S21" s="6"/>
      <c r="AL21" s="21" t="str">
        <v>GEMMA</v>
      </c>
      <c r="AM21" s="21">
        <v>9.75</v>
      </c>
      <c r="AO21" s="19">
        <v>7</v>
      </c>
      <c r="AP21" s="20">
        <f t="shared" ref="AP21:AP36" si="19">IF(AND($AO21&gt;=$T$3,$AO21&lt;$U$3),1,0)</f>
        <v>0</v>
      </c>
      <c r="AQ21" s="20">
        <f t="shared" ref="AQ21:AQ36" si="20">IF(AND($AO21&gt;=$V$3,$AO21&lt;$W$3),1,0)</f>
        <v>0</v>
      </c>
      <c r="AR21" s="20">
        <f t="shared" ref="AR21:AR36" si="21">IF(AND($AO21&gt;=$X$3,$AO21&lt;$Y$3),1,0)</f>
        <v>0</v>
      </c>
      <c r="AS21" s="20">
        <f t="shared" ref="AS21:AS36" si="22">IF(AND($AO21&gt;=$Z$3,$AO21&lt;$AA$3),1,0)</f>
        <v>0</v>
      </c>
      <c r="AT21" s="20">
        <f t="shared" ref="AT21:AT36" si="23">IF(AND($AO21&gt;=$AB$3,$AO21&lt;$AC$3),1,0)</f>
        <v>0</v>
      </c>
      <c r="AU21" s="20">
        <f t="shared" ref="AU21:AU36" si="24">IF(AND($AO21&gt;=$AD$3,$AO21&lt;$AE$3),1,0)</f>
        <v>0</v>
      </c>
      <c r="AV21" s="20">
        <f t="shared" ref="AV21:AV36" si="25">IF(AND($AO21&gt;=$AF$3,$AO21&lt;$AG$3),1,0)</f>
        <v>0</v>
      </c>
      <c r="AW21" s="20">
        <f>SUM(AP21:AV21)</f>
        <v>0</v>
      </c>
    </row>
    <row r="22" spans="1:53">
      <c r="A22" s="27">
        <v>0.33333333333333331</v>
      </c>
      <c r="B22" s="30">
        <f t="shared" si="11"/>
        <v>12.82</v>
      </c>
      <c r="C22" s="30">
        <f t="shared" si="12"/>
        <v>12.82</v>
      </c>
      <c r="D22" s="30">
        <f t="shared" si="13"/>
        <v>12.82</v>
      </c>
      <c r="E22" s="30">
        <f t="shared" si="14"/>
        <v>12.82</v>
      </c>
      <c r="F22" s="30">
        <f t="shared" si="15"/>
        <v>12.82</v>
      </c>
      <c r="G22" s="30">
        <f t="shared" si="16"/>
        <v>9.5500000000000007</v>
      </c>
      <c r="H22" s="30">
        <f t="shared" si="17"/>
        <v>0</v>
      </c>
      <c r="I22" s="38">
        <f t="shared" si="18"/>
        <v>73.649999999999991</v>
      </c>
      <c r="M22" s="31" t="s">
        <v>18</v>
      </c>
      <c r="AL22" s="21" t="str">
        <v>GORDAN</v>
      </c>
      <c r="AM22" s="21">
        <v>0</v>
      </c>
      <c r="AO22" s="19">
        <v>8</v>
      </c>
      <c r="AP22" s="20">
        <f t="shared" si="19"/>
        <v>0</v>
      </c>
      <c r="AQ22" s="20">
        <f t="shared" si="20"/>
        <v>0</v>
      </c>
      <c r="AR22" s="20">
        <f t="shared" si="21"/>
        <v>0</v>
      </c>
      <c r="AS22" s="20">
        <f t="shared" si="22"/>
        <v>0</v>
      </c>
      <c r="AT22" s="20">
        <f t="shared" si="23"/>
        <v>0</v>
      </c>
      <c r="AU22" s="20">
        <f t="shared" si="24"/>
        <v>1</v>
      </c>
      <c r="AV22" s="20">
        <f t="shared" si="25"/>
        <v>0</v>
      </c>
      <c r="AW22" s="20">
        <f t="shared" ref="AW22:AW31" si="26">SUM(AP22:AV22)</f>
        <v>1</v>
      </c>
    </row>
    <row r="23" spans="1:53">
      <c r="A23" s="27">
        <v>0.375</v>
      </c>
      <c r="B23" s="30">
        <f t="shared" si="11"/>
        <v>22.37</v>
      </c>
      <c r="C23" s="30">
        <f t="shared" si="12"/>
        <v>22.37</v>
      </c>
      <c r="D23" s="30">
        <f t="shared" si="13"/>
        <v>22.37</v>
      </c>
      <c r="E23" s="30">
        <f t="shared" si="14"/>
        <v>22.37</v>
      </c>
      <c r="F23" s="30">
        <f t="shared" si="15"/>
        <v>22.37</v>
      </c>
      <c r="G23" s="30">
        <f t="shared" si="16"/>
        <v>19.3</v>
      </c>
      <c r="H23" s="30">
        <f t="shared" si="17"/>
        <v>9.5500000000000007</v>
      </c>
      <c r="I23" s="38">
        <f>SUM(B23:H23)</f>
        <v>140.70000000000002</v>
      </c>
      <c r="M23" s="31" t="s">
        <v>72</v>
      </c>
      <c r="AL23" s="21" t="str">
        <v>HAZEL</v>
      </c>
      <c r="AM23" s="21">
        <v>0</v>
      </c>
      <c r="AO23" s="19">
        <v>9</v>
      </c>
      <c r="AP23" s="20">
        <f t="shared" si="19"/>
        <v>0</v>
      </c>
      <c r="AQ23" s="20">
        <f t="shared" si="20"/>
        <v>0</v>
      </c>
      <c r="AR23" s="20">
        <f t="shared" si="21"/>
        <v>0</v>
      </c>
      <c r="AS23" s="20">
        <f t="shared" si="22"/>
        <v>0</v>
      </c>
      <c r="AT23" s="20">
        <f t="shared" si="23"/>
        <v>0</v>
      </c>
      <c r="AU23" s="20">
        <f t="shared" si="24"/>
        <v>1</v>
      </c>
      <c r="AV23" s="20">
        <f t="shared" si="25"/>
        <v>1</v>
      </c>
      <c r="AW23" s="20">
        <f t="shared" si="26"/>
        <v>2</v>
      </c>
    </row>
    <row r="24" spans="1:53">
      <c r="A24" s="27">
        <v>0.41666666666666702</v>
      </c>
      <c r="B24" s="30">
        <f t="shared" si="11"/>
        <v>22.37</v>
      </c>
      <c r="C24" s="30">
        <f t="shared" si="12"/>
        <v>22.37</v>
      </c>
      <c r="D24" s="30">
        <f t="shared" si="13"/>
        <v>22.37</v>
      </c>
      <c r="E24" s="30">
        <f t="shared" si="14"/>
        <v>31.92</v>
      </c>
      <c r="F24" s="30">
        <f t="shared" si="15"/>
        <v>31.92</v>
      </c>
      <c r="G24" s="30">
        <f t="shared" si="16"/>
        <v>28.85</v>
      </c>
      <c r="H24" s="30">
        <f t="shared" si="17"/>
        <v>19.100000000000001</v>
      </c>
      <c r="I24" s="38">
        <f t="shared" si="18"/>
        <v>178.89999999999998</v>
      </c>
      <c r="M24" s="31" t="s">
        <v>65</v>
      </c>
      <c r="AL24" s="21" t="str">
        <v>INGRIDA</v>
      </c>
      <c r="AM24" s="21">
        <v>9.5500000000000007</v>
      </c>
      <c r="AO24" s="19">
        <v>10</v>
      </c>
      <c r="AP24" s="20">
        <f t="shared" si="19"/>
        <v>0</v>
      </c>
      <c r="AQ24" s="20">
        <f t="shared" si="20"/>
        <v>0</v>
      </c>
      <c r="AR24" s="20">
        <f t="shared" si="21"/>
        <v>0</v>
      </c>
      <c r="AS24" s="20">
        <f t="shared" si="22"/>
        <v>0</v>
      </c>
      <c r="AT24" s="20">
        <f t="shared" si="23"/>
        <v>0</v>
      </c>
      <c r="AU24" s="20">
        <f t="shared" si="24"/>
        <v>1</v>
      </c>
      <c r="AV24" s="20">
        <f t="shared" si="25"/>
        <v>1</v>
      </c>
      <c r="AW24" s="20">
        <f t="shared" si="26"/>
        <v>2</v>
      </c>
    </row>
    <row r="25" spans="1:53">
      <c r="A25" s="27">
        <v>0.45833333333333398</v>
      </c>
      <c r="B25" s="30">
        <f t="shared" si="11"/>
        <v>31.92</v>
      </c>
      <c r="C25" s="30">
        <f t="shared" si="12"/>
        <v>31.92</v>
      </c>
      <c r="D25" s="30">
        <f t="shared" si="13"/>
        <v>31.92</v>
      </c>
      <c r="E25" s="30">
        <f t="shared" si="14"/>
        <v>31.92</v>
      </c>
      <c r="F25" s="30">
        <f t="shared" si="15"/>
        <v>31.92</v>
      </c>
      <c r="G25" s="30">
        <f t="shared" si="16"/>
        <v>28.85</v>
      </c>
      <c r="H25" s="30">
        <f t="shared" si="17"/>
        <v>28.85</v>
      </c>
      <c r="I25" s="38">
        <f t="shared" si="18"/>
        <v>217.3</v>
      </c>
      <c r="M25" s="31" t="s">
        <v>68</v>
      </c>
      <c r="AL25" s="21" t="str">
        <v>JOE</v>
      </c>
      <c r="AM25" s="21">
        <v>0</v>
      </c>
      <c r="AO25" s="19">
        <v>11</v>
      </c>
      <c r="AP25" s="20">
        <f t="shared" si="19"/>
        <v>1</v>
      </c>
      <c r="AQ25" s="20">
        <f t="shared" si="20"/>
        <v>1</v>
      </c>
      <c r="AR25" s="20">
        <f t="shared" si="21"/>
        <v>1</v>
      </c>
      <c r="AS25" s="20">
        <f t="shared" si="22"/>
        <v>0</v>
      </c>
      <c r="AT25" s="20">
        <f t="shared" si="23"/>
        <v>0</v>
      </c>
      <c r="AU25" s="20">
        <f t="shared" si="24"/>
        <v>1</v>
      </c>
      <c r="AV25" s="20">
        <f t="shared" si="25"/>
        <v>1</v>
      </c>
      <c r="AW25" s="20">
        <f t="shared" si="26"/>
        <v>5</v>
      </c>
    </row>
    <row r="26" spans="1:53">
      <c r="A26" s="27">
        <v>0.5</v>
      </c>
      <c r="B26" s="30">
        <f t="shared" si="11"/>
        <v>31.92</v>
      </c>
      <c r="C26" s="30">
        <f t="shared" si="12"/>
        <v>31.92</v>
      </c>
      <c r="D26" s="30">
        <f t="shared" si="13"/>
        <v>31.92</v>
      </c>
      <c r="E26" s="30">
        <f t="shared" si="14"/>
        <v>31.92</v>
      </c>
      <c r="F26" s="30">
        <f t="shared" si="15"/>
        <v>31.92</v>
      </c>
      <c r="G26" s="30">
        <f t="shared" si="16"/>
        <v>28.85</v>
      </c>
      <c r="H26" s="30">
        <f t="shared" si="17"/>
        <v>28.85</v>
      </c>
      <c r="I26" s="38">
        <f t="shared" si="18"/>
        <v>217.3</v>
      </c>
      <c r="M26" s="31" t="s">
        <v>70</v>
      </c>
      <c r="AL26" s="21" t="str">
        <v>JOHN</v>
      </c>
      <c r="AM26" s="21">
        <v>0</v>
      </c>
      <c r="AO26" s="19">
        <v>12</v>
      </c>
      <c r="AP26" s="20">
        <f t="shared" si="19"/>
        <v>1</v>
      </c>
      <c r="AQ26" s="20">
        <f t="shared" si="20"/>
        <v>1</v>
      </c>
      <c r="AR26" s="20">
        <f t="shared" si="21"/>
        <v>1</v>
      </c>
      <c r="AS26" s="20">
        <f t="shared" si="22"/>
        <v>0</v>
      </c>
      <c r="AT26" s="20">
        <f t="shared" si="23"/>
        <v>0</v>
      </c>
      <c r="AU26" s="20">
        <f t="shared" si="24"/>
        <v>1</v>
      </c>
      <c r="AV26" s="20">
        <f t="shared" si="25"/>
        <v>1</v>
      </c>
      <c r="AW26" s="20">
        <f t="shared" si="26"/>
        <v>5</v>
      </c>
    </row>
    <row r="27" spans="1:53">
      <c r="A27" s="27">
        <v>0.54166666666666696</v>
      </c>
      <c r="B27" s="30">
        <f t="shared" si="11"/>
        <v>31.92</v>
      </c>
      <c r="C27" s="30">
        <f t="shared" si="12"/>
        <v>31.92</v>
      </c>
      <c r="D27" s="30">
        <f t="shared" si="13"/>
        <v>31.92</v>
      </c>
      <c r="E27" s="30">
        <f t="shared" si="14"/>
        <v>31.92</v>
      </c>
      <c r="F27" s="30">
        <f t="shared" si="15"/>
        <v>31.92</v>
      </c>
      <c r="G27" s="30">
        <f t="shared" si="16"/>
        <v>28.85</v>
      </c>
      <c r="H27" s="30">
        <f t="shared" si="17"/>
        <v>28.85</v>
      </c>
      <c r="I27" s="38">
        <f t="shared" si="18"/>
        <v>217.3</v>
      </c>
      <c r="M27" s="31" t="s">
        <v>36</v>
      </c>
      <c r="AL27" s="21" t="str">
        <v>JUSTYNA</v>
      </c>
      <c r="AM27" s="21">
        <v>10.35</v>
      </c>
      <c r="AO27" s="19">
        <v>13</v>
      </c>
      <c r="AP27" s="20">
        <f t="shared" si="19"/>
        <v>1</v>
      </c>
      <c r="AQ27" s="20">
        <f t="shared" si="20"/>
        <v>1</v>
      </c>
      <c r="AR27" s="20">
        <f t="shared" si="21"/>
        <v>1</v>
      </c>
      <c r="AS27" s="20">
        <f t="shared" si="22"/>
        <v>0</v>
      </c>
      <c r="AT27" s="20">
        <f t="shared" si="23"/>
        <v>0</v>
      </c>
      <c r="AU27" s="20">
        <f t="shared" si="24"/>
        <v>1</v>
      </c>
      <c r="AV27" s="20">
        <f t="shared" si="25"/>
        <v>1</v>
      </c>
      <c r="AW27" s="20">
        <f t="shared" si="26"/>
        <v>5</v>
      </c>
    </row>
    <row r="28" spans="1:53">
      <c r="A28" s="27">
        <v>0.58333333333333304</v>
      </c>
      <c r="B28" s="30">
        <f t="shared" si="11"/>
        <v>19.100000000000001</v>
      </c>
      <c r="C28" s="30">
        <f t="shared" si="12"/>
        <v>19.100000000000001</v>
      </c>
      <c r="D28" s="30">
        <f t="shared" si="13"/>
        <v>19.100000000000001</v>
      </c>
      <c r="E28" s="30">
        <f t="shared" si="14"/>
        <v>19.100000000000001</v>
      </c>
      <c r="F28" s="30">
        <f t="shared" si="15"/>
        <v>19.100000000000001</v>
      </c>
      <c r="G28" s="30">
        <f t="shared" si="16"/>
        <v>28.85</v>
      </c>
      <c r="H28" s="30">
        <f t="shared" si="17"/>
        <v>28.85</v>
      </c>
      <c r="I28" s="38">
        <f t="shared" si="18"/>
        <v>153.19999999999999</v>
      </c>
      <c r="M28" s="31" t="s">
        <v>63</v>
      </c>
      <c r="AL28" s="21" t="str">
        <v>KACPER</v>
      </c>
      <c r="AM28" s="21">
        <v>0</v>
      </c>
      <c r="AO28" s="19">
        <v>14</v>
      </c>
      <c r="AP28" s="20">
        <f t="shared" si="19"/>
        <v>1</v>
      </c>
      <c r="AQ28" s="20">
        <f t="shared" si="20"/>
        <v>1</v>
      </c>
      <c r="AR28" s="20">
        <f t="shared" si="21"/>
        <v>1</v>
      </c>
      <c r="AS28" s="20">
        <f t="shared" si="22"/>
        <v>0</v>
      </c>
      <c r="AT28" s="20">
        <f t="shared" si="23"/>
        <v>0</v>
      </c>
      <c r="AU28" s="20">
        <f t="shared" si="24"/>
        <v>1</v>
      </c>
      <c r="AV28" s="20">
        <f t="shared" si="25"/>
        <v>1</v>
      </c>
      <c r="AW28" s="20">
        <f t="shared" si="26"/>
        <v>5</v>
      </c>
    </row>
    <row r="29" spans="1:53">
      <c r="A29" s="27">
        <v>0.625</v>
      </c>
      <c r="B29" s="30">
        <f t="shared" si="11"/>
        <v>19.100000000000001</v>
      </c>
      <c r="C29" s="30">
        <f t="shared" si="12"/>
        <v>19.100000000000001</v>
      </c>
      <c r="D29" s="30">
        <f t="shared" si="13"/>
        <v>19.100000000000001</v>
      </c>
      <c r="E29" s="30">
        <f t="shared" si="14"/>
        <v>19.100000000000001</v>
      </c>
      <c r="F29" s="30">
        <f t="shared" si="15"/>
        <v>19.100000000000001</v>
      </c>
      <c r="G29" s="30">
        <f t="shared" si="16"/>
        <v>19.3</v>
      </c>
      <c r="H29" s="30">
        <f t="shared" si="17"/>
        <v>19.3</v>
      </c>
      <c r="I29" s="38">
        <f t="shared" si="18"/>
        <v>134.1</v>
      </c>
      <c r="M29" s="31" t="s">
        <v>29</v>
      </c>
      <c r="AL29" s="21" t="str">
        <v>KATE</v>
      </c>
      <c r="AM29" s="21">
        <v>0</v>
      </c>
      <c r="AO29" s="19">
        <v>15</v>
      </c>
      <c r="AP29" s="20">
        <f t="shared" si="19"/>
        <v>1</v>
      </c>
      <c r="AQ29" s="20">
        <f t="shared" si="20"/>
        <v>1</v>
      </c>
      <c r="AR29" s="20">
        <f t="shared" si="21"/>
        <v>1</v>
      </c>
      <c r="AS29" s="20">
        <f t="shared" si="22"/>
        <v>0</v>
      </c>
      <c r="AT29" s="20">
        <f t="shared" si="23"/>
        <v>0</v>
      </c>
      <c r="AU29" s="20">
        <f t="shared" si="24"/>
        <v>0</v>
      </c>
      <c r="AV29" s="20">
        <f t="shared" si="25"/>
        <v>0</v>
      </c>
      <c r="AW29" s="20">
        <f t="shared" si="26"/>
        <v>3</v>
      </c>
    </row>
    <row r="30" spans="1:53">
      <c r="A30" s="27">
        <v>0.66666666666666696</v>
      </c>
      <c r="B30" s="30">
        <f t="shared" si="11"/>
        <v>19.100000000000001</v>
      </c>
      <c r="C30" s="30">
        <f t="shared" si="12"/>
        <v>19.100000000000001</v>
      </c>
      <c r="D30" s="30">
        <f t="shared" si="13"/>
        <v>19.100000000000001</v>
      </c>
      <c r="E30" s="30">
        <f t="shared" si="14"/>
        <v>19.100000000000001</v>
      </c>
      <c r="F30" s="30">
        <f t="shared" si="15"/>
        <v>19.100000000000001</v>
      </c>
      <c r="G30" s="30">
        <f t="shared" si="16"/>
        <v>19.3</v>
      </c>
      <c r="H30" s="30">
        <f t="shared" si="17"/>
        <v>19.3</v>
      </c>
      <c r="I30" s="38">
        <f t="shared" si="18"/>
        <v>134.1</v>
      </c>
      <c r="M30" s="31" t="s">
        <v>26</v>
      </c>
      <c r="AL30" s="21" t="str">
        <v>LEONARDO</v>
      </c>
      <c r="AM30" s="21">
        <v>0</v>
      </c>
      <c r="AO30" s="19">
        <v>16</v>
      </c>
      <c r="AP30" s="20">
        <f t="shared" si="19"/>
        <v>1</v>
      </c>
      <c r="AQ30" s="20">
        <f t="shared" si="20"/>
        <v>1</v>
      </c>
      <c r="AR30" s="20">
        <f t="shared" si="21"/>
        <v>1</v>
      </c>
      <c r="AS30" s="20">
        <f t="shared" si="22"/>
        <v>0</v>
      </c>
      <c r="AT30" s="20">
        <f t="shared" si="23"/>
        <v>0</v>
      </c>
      <c r="AU30" s="20">
        <f t="shared" si="24"/>
        <v>0</v>
      </c>
      <c r="AV30" s="20">
        <f t="shared" si="25"/>
        <v>0</v>
      </c>
      <c r="AW30" s="20">
        <f t="shared" si="26"/>
        <v>3</v>
      </c>
    </row>
    <row r="31" spans="1:53">
      <c r="A31" s="27">
        <v>0.70833333333333304</v>
      </c>
      <c r="B31" s="30">
        <f t="shared" si="11"/>
        <v>9.5500000000000007</v>
      </c>
      <c r="C31" s="30">
        <f t="shared" si="12"/>
        <v>9.5500000000000007</v>
      </c>
      <c r="D31" s="30">
        <f t="shared" si="13"/>
        <v>9.5500000000000007</v>
      </c>
      <c r="E31" s="30">
        <f t="shared" si="14"/>
        <v>9.5500000000000007</v>
      </c>
      <c r="F31" s="30">
        <f t="shared" si="15"/>
        <v>9.5500000000000007</v>
      </c>
      <c r="G31" s="30">
        <f t="shared" si="16"/>
        <v>9.5500000000000007</v>
      </c>
      <c r="H31" s="30">
        <f t="shared" si="17"/>
        <v>9.75</v>
      </c>
      <c r="I31" s="38">
        <f t="shared" si="18"/>
        <v>67.05</v>
      </c>
      <c r="M31" s="31" t="s">
        <v>20</v>
      </c>
      <c r="AL31" s="21" t="str">
        <v>LIGA</v>
      </c>
      <c r="AM31" s="21">
        <v>9.5500000000000007</v>
      </c>
      <c r="AO31" s="19">
        <v>17</v>
      </c>
      <c r="AP31" s="20">
        <f t="shared" si="19"/>
        <v>1</v>
      </c>
      <c r="AQ31" s="20">
        <f t="shared" si="20"/>
        <v>1</v>
      </c>
      <c r="AR31" s="20">
        <f t="shared" si="21"/>
        <v>1</v>
      </c>
      <c r="AS31" s="20">
        <f t="shared" si="22"/>
        <v>0</v>
      </c>
      <c r="AT31" s="20">
        <f t="shared" si="23"/>
        <v>0</v>
      </c>
      <c r="AU31" s="20">
        <f t="shared" si="24"/>
        <v>0</v>
      </c>
      <c r="AV31" s="20">
        <f t="shared" si="25"/>
        <v>0</v>
      </c>
      <c r="AW31" s="20">
        <f t="shared" si="26"/>
        <v>3</v>
      </c>
    </row>
    <row r="32" spans="1:53">
      <c r="A32" s="27">
        <v>0.749999999999999</v>
      </c>
      <c r="B32" s="30">
        <f t="shared" si="11"/>
        <v>0</v>
      </c>
      <c r="C32" s="30">
        <f t="shared" si="12"/>
        <v>0</v>
      </c>
      <c r="D32" s="30">
        <f t="shared" si="13"/>
        <v>0</v>
      </c>
      <c r="E32" s="30">
        <f t="shared" si="14"/>
        <v>0</v>
      </c>
      <c r="F32" s="30">
        <f t="shared" si="15"/>
        <v>0</v>
      </c>
      <c r="G32" s="30">
        <f t="shared" si="16"/>
        <v>0</v>
      </c>
      <c r="H32" s="30">
        <f t="shared" si="17"/>
        <v>0</v>
      </c>
      <c r="I32" s="38">
        <f t="shared" si="18"/>
        <v>0</v>
      </c>
      <c r="M32" s="31" t="s">
        <v>61</v>
      </c>
      <c r="AL32" s="21" t="str">
        <v>LUKASZ</v>
      </c>
      <c r="AM32" s="21">
        <v>10</v>
      </c>
      <c r="AO32" s="19">
        <v>18</v>
      </c>
      <c r="AP32" s="20">
        <f t="shared" si="19"/>
        <v>0</v>
      </c>
      <c r="AQ32" s="20">
        <f t="shared" si="20"/>
        <v>0</v>
      </c>
      <c r="AR32" s="20">
        <f t="shared" si="21"/>
        <v>0</v>
      </c>
      <c r="AS32" s="20">
        <f t="shared" si="22"/>
        <v>0</v>
      </c>
      <c r="AT32" s="20">
        <f t="shared" si="23"/>
        <v>0</v>
      </c>
      <c r="AU32" s="20">
        <f t="shared" si="24"/>
        <v>0</v>
      </c>
      <c r="AV32" s="20">
        <f t="shared" si="25"/>
        <v>0</v>
      </c>
      <c r="AW32" s="20">
        <f t="shared" ref="AW32:AW36" si="27">SUM(AP32:AV32)</f>
        <v>0</v>
      </c>
    </row>
    <row r="33" spans="1:49">
      <c r="A33" s="27">
        <v>0.79166666666666496</v>
      </c>
      <c r="B33" s="30">
        <f t="shared" si="11"/>
        <v>0</v>
      </c>
      <c r="C33" s="30">
        <f t="shared" si="12"/>
        <v>0</v>
      </c>
      <c r="D33" s="30">
        <f t="shared" si="13"/>
        <v>0</v>
      </c>
      <c r="E33" s="30">
        <f t="shared" si="14"/>
        <v>0</v>
      </c>
      <c r="F33" s="30">
        <f t="shared" si="15"/>
        <v>0</v>
      </c>
      <c r="G33" s="30">
        <f t="shared" si="16"/>
        <v>0</v>
      </c>
      <c r="H33" s="30">
        <f t="shared" si="17"/>
        <v>0</v>
      </c>
      <c r="I33" s="38">
        <f t="shared" si="18"/>
        <v>0</v>
      </c>
      <c r="M33" s="31" t="s">
        <v>54</v>
      </c>
      <c r="AL33" s="21" t="str">
        <v>MACIEJ</v>
      </c>
      <c r="AM33" s="21">
        <v>0</v>
      </c>
      <c r="AO33" s="19">
        <v>19</v>
      </c>
      <c r="AP33" s="20">
        <f t="shared" si="19"/>
        <v>0</v>
      </c>
      <c r="AQ33" s="20">
        <f t="shared" si="20"/>
        <v>0</v>
      </c>
      <c r="AR33" s="20">
        <f t="shared" si="21"/>
        <v>0</v>
      </c>
      <c r="AS33" s="20">
        <f t="shared" si="22"/>
        <v>0</v>
      </c>
      <c r="AT33" s="20">
        <f t="shared" si="23"/>
        <v>0</v>
      </c>
      <c r="AU33" s="20">
        <f t="shared" si="24"/>
        <v>0</v>
      </c>
      <c r="AV33" s="20">
        <f t="shared" si="25"/>
        <v>0</v>
      </c>
      <c r="AW33" s="20">
        <f t="shared" si="27"/>
        <v>0</v>
      </c>
    </row>
    <row r="34" spans="1:49">
      <c r="A34" s="27">
        <v>0.83333333333333104</v>
      </c>
      <c r="B34" s="30">
        <f t="shared" si="11"/>
        <v>0</v>
      </c>
      <c r="C34" s="30">
        <f t="shared" si="12"/>
        <v>0</v>
      </c>
      <c r="D34" s="30">
        <f t="shared" si="13"/>
        <v>0</v>
      </c>
      <c r="E34" s="30">
        <f t="shared" si="14"/>
        <v>0</v>
      </c>
      <c r="F34" s="30">
        <f t="shared" si="15"/>
        <v>0</v>
      </c>
      <c r="G34" s="30">
        <f t="shared" si="16"/>
        <v>0</v>
      </c>
      <c r="H34" s="30">
        <f t="shared" si="17"/>
        <v>0</v>
      </c>
      <c r="I34" s="38">
        <f t="shared" si="18"/>
        <v>0</v>
      </c>
      <c r="M34" s="31" t="s">
        <v>33</v>
      </c>
      <c r="AL34" s="21" t="str">
        <v>MAGDA</v>
      </c>
      <c r="AM34" s="21">
        <v>9.8000000000000007</v>
      </c>
      <c r="AO34" s="19">
        <v>20</v>
      </c>
      <c r="AP34" s="20">
        <f t="shared" si="19"/>
        <v>0</v>
      </c>
      <c r="AQ34" s="20">
        <f t="shared" si="20"/>
        <v>0</v>
      </c>
      <c r="AR34" s="20">
        <f t="shared" si="21"/>
        <v>0</v>
      </c>
      <c r="AS34" s="20">
        <f t="shared" si="22"/>
        <v>0</v>
      </c>
      <c r="AT34" s="20">
        <f t="shared" si="23"/>
        <v>0</v>
      </c>
      <c r="AU34" s="20">
        <f t="shared" si="24"/>
        <v>0</v>
      </c>
      <c r="AV34" s="20">
        <f t="shared" si="25"/>
        <v>0</v>
      </c>
      <c r="AW34" s="20">
        <f t="shared" si="27"/>
        <v>0</v>
      </c>
    </row>
    <row r="35" spans="1:49">
      <c r="A35" s="27">
        <v>0.874999999999997</v>
      </c>
      <c r="B35" s="30">
        <f t="shared" si="11"/>
        <v>0</v>
      </c>
      <c r="C35" s="30">
        <f t="shared" si="12"/>
        <v>0</v>
      </c>
      <c r="D35" s="30">
        <f t="shared" si="13"/>
        <v>0</v>
      </c>
      <c r="E35" s="30">
        <f t="shared" si="14"/>
        <v>0</v>
      </c>
      <c r="F35" s="30">
        <f t="shared" si="15"/>
        <v>0</v>
      </c>
      <c r="G35" s="30">
        <f t="shared" si="16"/>
        <v>0</v>
      </c>
      <c r="H35" s="30">
        <f t="shared" si="17"/>
        <v>0</v>
      </c>
      <c r="I35" s="38">
        <f t="shared" si="18"/>
        <v>0</v>
      </c>
      <c r="M35" s="31" t="s">
        <v>60</v>
      </c>
      <c r="AL35" s="21" t="str">
        <v>MARIA</v>
      </c>
      <c r="AM35" s="21">
        <v>0</v>
      </c>
      <c r="AO35" s="19">
        <v>21</v>
      </c>
      <c r="AP35" s="20">
        <f t="shared" si="19"/>
        <v>0</v>
      </c>
      <c r="AQ35" s="20">
        <f t="shared" si="20"/>
        <v>0</v>
      </c>
      <c r="AR35" s="20">
        <f t="shared" si="21"/>
        <v>0</v>
      </c>
      <c r="AS35" s="20">
        <f t="shared" si="22"/>
        <v>0</v>
      </c>
      <c r="AT35" s="20">
        <f t="shared" si="23"/>
        <v>0</v>
      </c>
      <c r="AU35" s="20">
        <f t="shared" si="24"/>
        <v>0</v>
      </c>
      <c r="AV35" s="20">
        <f t="shared" si="25"/>
        <v>0</v>
      </c>
      <c r="AW35" s="20">
        <f t="shared" si="27"/>
        <v>0</v>
      </c>
    </row>
    <row r="36" spans="1:49">
      <c r="A36" s="27">
        <v>0.91666666666666297</v>
      </c>
      <c r="B36" s="30">
        <f t="shared" si="11"/>
        <v>0</v>
      </c>
      <c r="C36" s="30">
        <f t="shared" si="12"/>
        <v>0</v>
      </c>
      <c r="D36" s="30">
        <f t="shared" si="13"/>
        <v>0</v>
      </c>
      <c r="E36" s="30">
        <f t="shared" si="14"/>
        <v>0</v>
      </c>
      <c r="F36" s="30">
        <f t="shared" si="15"/>
        <v>0</v>
      </c>
      <c r="G36" s="30">
        <f t="shared" si="16"/>
        <v>0</v>
      </c>
      <c r="H36" s="30">
        <f t="shared" si="17"/>
        <v>0</v>
      </c>
      <c r="I36" s="38">
        <f t="shared" si="18"/>
        <v>0</v>
      </c>
      <c r="M36" s="31" t="s">
        <v>42</v>
      </c>
      <c r="AL36" s="21" t="str">
        <v>MARIANNE</v>
      </c>
      <c r="AM36" s="21">
        <v>9.5500000000000007</v>
      </c>
      <c r="AO36" s="19">
        <v>22</v>
      </c>
      <c r="AP36" s="20">
        <f t="shared" si="19"/>
        <v>0</v>
      </c>
      <c r="AQ36" s="20">
        <f t="shared" si="20"/>
        <v>0</v>
      </c>
      <c r="AR36" s="20">
        <f t="shared" si="21"/>
        <v>0</v>
      </c>
      <c r="AS36" s="20">
        <f t="shared" si="22"/>
        <v>0</v>
      </c>
      <c r="AT36" s="20">
        <f t="shared" si="23"/>
        <v>0</v>
      </c>
      <c r="AU36" s="20">
        <f t="shared" si="24"/>
        <v>0</v>
      </c>
      <c r="AV36" s="20">
        <f t="shared" si="25"/>
        <v>0</v>
      </c>
      <c r="AW36" s="20">
        <f t="shared" si="27"/>
        <v>0</v>
      </c>
    </row>
    <row r="37" spans="1:49">
      <c r="A37" s="37" t="s">
        <v>7</v>
      </c>
      <c r="B37" s="38">
        <f t="shared" ref="B37:H37" si="28">SUM(B21:B36)</f>
        <v>232.99000000000004</v>
      </c>
      <c r="C37" s="38">
        <f t="shared" si="28"/>
        <v>232.99000000000004</v>
      </c>
      <c r="D37" s="38">
        <f t="shared" si="28"/>
        <v>232.99000000000004</v>
      </c>
      <c r="E37" s="38">
        <f t="shared" si="28"/>
        <v>242.54</v>
      </c>
      <c r="F37" s="38">
        <f t="shared" si="28"/>
        <v>242.54</v>
      </c>
      <c r="G37" s="38">
        <f t="shared" si="28"/>
        <v>221.25000000000003</v>
      </c>
      <c r="H37" s="38">
        <f t="shared" si="28"/>
        <v>192.4</v>
      </c>
      <c r="I37" s="38">
        <f t="shared" si="18"/>
        <v>1597.7000000000003</v>
      </c>
      <c r="M37" s="31" t="s">
        <v>15</v>
      </c>
      <c r="AL37" s="21" t="str">
        <v>MARTA</v>
      </c>
      <c r="AM37" s="21">
        <v>12</v>
      </c>
      <c r="AO37" s="16" t="s">
        <v>7</v>
      </c>
      <c r="AP37" s="20">
        <f>SUM(AP21:AP31)</f>
        <v>7</v>
      </c>
      <c r="AQ37" s="20">
        <f t="shared" ref="AQ37" si="29">SUM(AQ21:AQ31)</f>
        <v>7</v>
      </c>
      <c r="AR37" s="20">
        <f t="shared" ref="AR37" si="30">SUM(AR21:AR31)</f>
        <v>7</v>
      </c>
      <c r="AS37" s="20">
        <f t="shared" ref="AS37" si="31">SUM(AS21:AS31)</f>
        <v>0</v>
      </c>
      <c r="AT37" s="20">
        <f t="shared" ref="AT37" si="32">SUM(AT21:AT31)</f>
        <v>0</v>
      </c>
      <c r="AU37" s="20">
        <f t="shared" ref="AU37" si="33">SUM(AU21:AU31)</f>
        <v>7</v>
      </c>
      <c r="AV37" s="20">
        <f t="shared" ref="AV37" si="34">SUM(AV21:AV31)</f>
        <v>6</v>
      </c>
      <c r="AW37" s="20">
        <f>SUM(AP37:AV37)</f>
        <v>34</v>
      </c>
    </row>
    <row r="38" spans="1:49">
      <c r="M38" s="31" t="s">
        <v>15</v>
      </c>
      <c r="AL38" s="21" t="str">
        <v>MARY</v>
      </c>
      <c r="AM38" s="21">
        <v>9.5500000000000007</v>
      </c>
      <c r="AO38" s="21"/>
      <c r="AP38" s="21"/>
      <c r="AQ38" s="21"/>
      <c r="AR38" s="21"/>
      <c r="AS38" s="21"/>
      <c r="AT38" s="21"/>
      <c r="AU38" s="21"/>
      <c r="AV38" s="21"/>
      <c r="AW38" s="21"/>
    </row>
    <row r="39" spans="1:49">
      <c r="I39" s="4"/>
      <c r="J39" s="5"/>
      <c r="K39" s="5"/>
      <c r="L39" s="5"/>
      <c r="M39" s="32"/>
      <c r="N39" s="5"/>
      <c r="O39" s="5"/>
      <c r="P39" s="5"/>
      <c r="Q39" s="5"/>
      <c r="AL39" s="21" t="str">
        <v>MICHELE</v>
      </c>
      <c r="AM39" s="21">
        <v>0</v>
      </c>
      <c r="AO39" s="15" t="str">
        <f>IF(ISBLANK(A4),"",A4)</f>
        <v>ingrida</v>
      </c>
      <c r="AP39" s="18" t="s">
        <v>1</v>
      </c>
      <c r="AQ39" s="18" t="s">
        <v>2</v>
      </c>
      <c r="AR39" s="18" t="s">
        <v>3</v>
      </c>
      <c r="AS39" s="18" t="s">
        <v>2</v>
      </c>
      <c r="AT39" s="18" t="s">
        <v>4</v>
      </c>
      <c r="AU39" s="18" t="s">
        <v>0</v>
      </c>
      <c r="AV39" s="18" t="s">
        <v>0</v>
      </c>
      <c r="AW39" s="16" t="s">
        <v>8</v>
      </c>
    </row>
    <row r="40" spans="1:49">
      <c r="I40" s="4"/>
      <c r="J40" s="4"/>
      <c r="K40" s="4"/>
      <c r="L40" s="4"/>
      <c r="M40" s="31"/>
      <c r="N40" s="4"/>
      <c r="O40" s="4"/>
      <c r="P40" s="4"/>
      <c r="Q40" s="4"/>
      <c r="AL40" s="21" t="str">
        <v>MONIKA</v>
      </c>
      <c r="AM40" s="21">
        <v>19.23</v>
      </c>
      <c r="AO40" s="19">
        <v>7</v>
      </c>
      <c r="AP40" s="20">
        <f t="shared" ref="AP40:AP55" si="35">IF(AND($AO40&gt;=$T$4,$AO40&lt;$U$4),1,0)</f>
        <v>0</v>
      </c>
      <c r="AQ40" s="20">
        <f t="shared" ref="AQ40:AQ55" si="36">IF(AND($AO40&gt;=$V$4,$AO40&lt;$W$4),1,0)</f>
        <v>0</v>
      </c>
      <c r="AR40" s="20">
        <f t="shared" ref="AR40:AR55" si="37">IF(AND($AO40&gt;=$X$4,$AO40&lt;$Y$4),1,0)</f>
        <v>0</v>
      </c>
      <c r="AS40" s="20">
        <f t="shared" ref="AS40:AS55" si="38">IF(AND($AO40&gt;=$Z$4,$AO40&lt;$AA$4),1,0)</f>
        <v>0</v>
      </c>
      <c r="AT40" s="20">
        <f t="shared" ref="AT40:AT55" si="39">IF(AND($AO40&gt;=$AB$4,$AO40&lt;$AC$4),1,0)</f>
        <v>0</v>
      </c>
      <c r="AU40" s="20">
        <f t="shared" ref="AU40:AU55" si="40">IF(AND($AO40&gt;=$AD$4,$AO40&lt;$AE$4),1,0)</f>
        <v>0</v>
      </c>
      <c r="AV40" s="20">
        <f t="shared" ref="AV40:AV55" si="41">IF(AND($AO40&gt;=$AF$4,$AO40&lt;$AG$4),1,0)</f>
        <v>0</v>
      </c>
      <c r="AW40" s="20">
        <f>SUM(AP40:AV40)</f>
        <v>0</v>
      </c>
    </row>
    <row r="41" spans="1:49">
      <c r="I41" s="4"/>
      <c r="M41" s="31"/>
      <c r="AL41" s="21" t="str">
        <v>NATHAN</v>
      </c>
      <c r="AM41" s="21">
        <v>9.5500000000000007</v>
      </c>
      <c r="AO41" s="19">
        <v>8</v>
      </c>
      <c r="AP41" s="20">
        <f t="shared" si="35"/>
        <v>0</v>
      </c>
      <c r="AQ41" s="20">
        <f t="shared" si="36"/>
        <v>0</v>
      </c>
      <c r="AR41" s="20">
        <f t="shared" si="37"/>
        <v>0</v>
      </c>
      <c r="AS41" s="20">
        <f t="shared" si="38"/>
        <v>0</v>
      </c>
      <c r="AT41" s="20">
        <f t="shared" si="39"/>
        <v>0</v>
      </c>
      <c r="AU41" s="20">
        <f t="shared" si="40"/>
        <v>0</v>
      </c>
      <c r="AV41" s="20">
        <f t="shared" si="41"/>
        <v>0</v>
      </c>
      <c r="AW41" s="20">
        <f t="shared" ref="AW41:AW50" si="42">SUM(AP41:AV41)</f>
        <v>0</v>
      </c>
    </row>
    <row r="42" spans="1:49">
      <c r="I42" s="4"/>
      <c r="M42" s="31"/>
      <c r="AL42" s="21" t="str">
        <v>NIAMH</v>
      </c>
      <c r="AM42" s="21">
        <v>9.5500000000000007</v>
      </c>
      <c r="AO42" s="19">
        <v>9</v>
      </c>
      <c r="AP42" s="20">
        <f t="shared" si="35"/>
        <v>1</v>
      </c>
      <c r="AQ42" s="20">
        <f t="shared" si="36"/>
        <v>1</v>
      </c>
      <c r="AR42" s="20">
        <f t="shared" si="37"/>
        <v>1</v>
      </c>
      <c r="AS42" s="20">
        <f t="shared" si="38"/>
        <v>1</v>
      </c>
      <c r="AT42" s="20">
        <f t="shared" si="39"/>
        <v>1</v>
      </c>
      <c r="AU42" s="20">
        <f t="shared" si="40"/>
        <v>0</v>
      </c>
      <c r="AV42" s="20">
        <f t="shared" si="41"/>
        <v>0</v>
      </c>
      <c r="AW42" s="20">
        <f t="shared" si="42"/>
        <v>5</v>
      </c>
    </row>
    <row r="43" spans="1:49">
      <c r="I43" s="4"/>
      <c r="M43" s="31"/>
      <c r="AL43" s="21" t="str">
        <v>OLGA</v>
      </c>
      <c r="AM43" s="21">
        <v>9.5500000000000007</v>
      </c>
      <c r="AO43" s="19">
        <v>10</v>
      </c>
      <c r="AP43" s="20">
        <f t="shared" si="35"/>
        <v>1</v>
      </c>
      <c r="AQ43" s="20">
        <f t="shared" si="36"/>
        <v>1</v>
      </c>
      <c r="AR43" s="20">
        <f t="shared" si="37"/>
        <v>1</v>
      </c>
      <c r="AS43" s="20">
        <f t="shared" si="38"/>
        <v>1</v>
      </c>
      <c r="AT43" s="20">
        <f t="shared" si="39"/>
        <v>1</v>
      </c>
      <c r="AU43" s="20">
        <f t="shared" si="40"/>
        <v>0</v>
      </c>
      <c r="AV43" s="20">
        <f t="shared" si="41"/>
        <v>0</v>
      </c>
      <c r="AW43" s="20">
        <f t="shared" si="42"/>
        <v>5</v>
      </c>
    </row>
    <row r="44" spans="1:49">
      <c r="I44" s="4"/>
      <c r="M44" s="31"/>
      <c r="AL44" s="21" t="str">
        <v>ORNA</v>
      </c>
      <c r="AM44" s="21">
        <v>0</v>
      </c>
      <c r="AO44" s="19">
        <v>11</v>
      </c>
      <c r="AP44" s="20">
        <f t="shared" si="35"/>
        <v>1</v>
      </c>
      <c r="AQ44" s="20">
        <f t="shared" si="36"/>
        <v>1</v>
      </c>
      <c r="AR44" s="20">
        <f t="shared" si="37"/>
        <v>1</v>
      </c>
      <c r="AS44" s="20">
        <f t="shared" si="38"/>
        <v>1</v>
      </c>
      <c r="AT44" s="20">
        <f t="shared" si="39"/>
        <v>1</v>
      </c>
      <c r="AU44" s="20">
        <f t="shared" si="40"/>
        <v>0</v>
      </c>
      <c r="AV44" s="20">
        <f t="shared" si="41"/>
        <v>0</v>
      </c>
      <c r="AW44" s="20">
        <f t="shared" si="42"/>
        <v>5</v>
      </c>
    </row>
    <row r="45" spans="1:49">
      <c r="I45" s="4"/>
      <c r="M45" s="31"/>
      <c r="AL45" s="21" t="str">
        <v>PAULA</v>
      </c>
      <c r="AM45" s="21">
        <v>10.55</v>
      </c>
      <c r="AO45" s="19">
        <v>12</v>
      </c>
      <c r="AP45" s="20">
        <f t="shared" si="35"/>
        <v>1</v>
      </c>
      <c r="AQ45" s="20">
        <f t="shared" si="36"/>
        <v>1</v>
      </c>
      <c r="AR45" s="20">
        <f t="shared" si="37"/>
        <v>1</v>
      </c>
      <c r="AS45" s="20">
        <f t="shared" si="38"/>
        <v>1</v>
      </c>
      <c r="AT45" s="20">
        <f t="shared" si="39"/>
        <v>1</v>
      </c>
      <c r="AU45" s="20">
        <f t="shared" si="40"/>
        <v>0</v>
      </c>
      <c r="AV45" s="20">
        <f t="shared" si="41"/>
        <v>0</v>
      </c>
      <c r="AW45" s="20">
        <f t="shared" si="42"/>
        <v>5</v>
      </c>
    </row>
    <row r="46" spans="1:49">
      <c r="I46" s="4"/>
      <c r="M46" s="31"/>
      <c r="AL46" s="21" t="str">
        <v>PAWEL</v>
      </c>
      <c r="AM46" s="21">
        <v>0</v>
      </c>
      <c r="AO46" s="19">
        <v>13</v>
      </c>
      <c r="AP46" s="20">
        <f t="shared" si="35"/>
        <v>1</v>
      </c>
      <c r="AQ46" s="20">
        <f t="shared" si="36"/>
        <v>1</v>
      </c>
      <c r="AR46" s="20">
        <f t="shared" si="37"/>
        <v>1</v>
      </c>
      <c r="AS46" s="20">
        <f t="shared" si="38"/>
        <v>1</v>
      </c>
      <c r="AT46" s="20">
        <f t="shared" si="39"/>
        <v>1</v>
      </c>
      <c r="AU46" s="20">
        <f t="shared" si="40"/>
        <v>0</v>
      </c>
      <c r="AV46" s="20">
        <f t="shared" si="41"/>
        <v>0</v>
      </c>
      <c r="AW46" s="20">
        <f t="shared" si="42"/>
        <v>5</v>
      </c>
    </row>
    <row r="47" spans="1:49">
      <c r="I47" s="4"/>
      <c r="M47" s="31"/>
      <c r="AL47" s="21" t="str">
        <v>PEARCE</v>
      </c>
      <c r="AM47" s="21">
        <v>9.5500000000000007</v>
      </c>
      <c r="AO47" s="19">
        <v>14</v>
      </c>
      <c r="AP47" s="20">
        <f t="shared" si="35"/>
        <v>1</v>
      </c>
      <c r="AQ47" s="20">
        <f t="shared" si="36"/>
        <v>1</v>
      </c>
      <c r="AR47" s="20">
        <f t="shared" si="37"/>
        <v>1</v>
      </c>
      <c r="AS47" s="20">
        <f t="shared" si="38"/>
        <v>1</v>
      </c>
      <c r="AT47" s="20">
        <f t="shared" si="39"/>
        <v>1</v>
      </c>
      <c r="AU47" s="20">
        <f t="shared" si="40"/>
        <v>0</v>
      </c>
      <c r="AV47" s="20">
        <f t="shared" si="41"/>
        <v>0</v>
      </c>
      <c r="AW47" s="20">
        <f t="shared" si="42"/>
        <v>5</v>
      </c>
    </row>
    <row r="48" spans="1:49">
      <c r="I48" s="4"/>
      <c r="M48" s="31"/>
      <c r="AL48" s="21" t="str">
        <v>PIOTR</v>
      </c>
      <c r="AM48" s="21">
        <v>14</v>
      </c>
      <c r="AO48" s="19">
        <v>15</v>
      </c>
      <c r="AP48" s="20">
        <f t="shared" si="35"/>
        <v>1</v>
      </c>
      <c r="AQ48" s="20">
        <f t="shared" si="36"/>
        <v>1</v>
      </c>
      <c r="AR48" s="20">
        <f t="shared" si="37"/>
        <v>1</v>
      </c>
      <c r="AS48" s="20">
        <f t="shared" si="38"/>
        <v>1</v>
      </c>
      <c r="AT48" s="20">
        <f t="shared" si="39"/>
        <v>1</v>
      </c>
      <c r="AU48" s="20">
        <f t="shared" si="40"/>
        <v>0</v>
      </c>
      <c r="AV48" s="20">
        <f t="shared" si="41"/>
        <v>0</v>
      </c>
      <c r="AW48" s="20">
        <f t="shared" si="42"/>
        <v>5</v>
      </c>
    </row>
    <row r="49" spans="9:49">
      <c r="I49" s="4"/>
      <c r="M49" s="31"/>
      <c r="AL49" s="21" t="str">
        <v>RACHAEL</v>
      </c>
      <c r="AM49" s="21">
        <v>12</v>
      </c>
      <c r="AO49" s="19">
        <v>16</v>
      </c>
      <c r="AP49" s="20">
        <f t="shared" si="35"/>
        <v>1</v>
      </c>
      <c r="AQ49" s="20">
        <f t="shared" si="36"/>
        <v>1</v>
      </c>
      <c r="AR49" s="20">
        <f t="shared" si="37"/>
        <v>1</v>
      </c>
      <c r="AS49" s="20">
        <f t="shared" si="38"/>
        <v>1</v>
      </c>
      <c r="AT49" s="20">
        <f t="shared" si="39"/>
        <v>1</v>
      </c>
      <c r="AU49" s="20">
        <f t="shared" si="40"/>
        <v>0</v>
      </c>
      <c r="AV49" s="20">
        <f t="shared" si="41"/>
        <v>0</v>
      </c>
      <c r="AW49" s="20">
        <f t="shared" si="42"/>
        <v>5</v>
      </c>
    </row>
    <row r="50" spans="9:49">
      <c r="I50" s="4"/>
      <c r="M50" s="31"/>
      <c r="AL50" s="21" t="str">
        <v>RACHEL B</v>
      </c>
      <c r="AM50" s="21">
        <v>9.5500000000000007</v>
      </c>
      <c r="AO50" s="19">
        <v>17</v>
      </c>
      <c r="AP50" s="20">
        <f t="shared" si="35"/>
        <v>0</v>
      </c>
      <c r="AQ50" s="20">
        <f t="shared" si="36"/>
        <v>0</v>
      </c>
      <c r="AR50" s="20">
        <f t="shared" si="37"/>
        <v>0</v>
      </c>
      <c r="AS50" s="20">
        <f t="shared" si="38"/>
        <v>0</v>
      </c>
      <c r="AT50" s="20">
        <f t="shared" si="39"/>
        <v>0</v>
      </c>
      <c r="AU50" s="20">
        <f t="shared" si="40"/>
        <v>0</v>
      </c>
      <c r="AV50" s="20">
        <f t="shared" si="41"/>
        <v>0</v>
      </c>
      <c r="AW50" s="20">
        <f t="shared" si="42"/>
        <v>0</v>
      </c>
    </row>
    <row r="51" spans="9:49">
      <c r="I51" s="4"/>
      <c r="M51" s="31"/>
      <c r="AL51" s="21" t="str">
        <v>RACHEL H</v>
      </c>
      <c r="AM51" s="21">
        <v>0</v>
      </c>
      <c r="AO51" s="19">
        <v>18</v>
      </c>
      <c r="AP51" s="20">
        <f t="shared" si="35"/>
        <v>0</v>
      </c>
      <c r="AQ51" s="20">
        <f t="shared" si="36"/>
        <v>0</v>
      </c>
      <c r="AR51" s="20">
        <f t="shared" si="37"/>
        <v>0</v>
      </c>
      <c r="AS51" s="20">
        <f t="shared" si="38"/>
        <v>0</v>
      </c>
      <c r="AT51" s="20">
        <f t="shared" si="39"/>
        <v>0</v>
      </c>
      <c r="AU51" s="20">
        <f t="shared" si="40"/>
        <v>0</v>
      </c>
      <c r="AV51" s="20">
        <f t="shared" si="41"/>
        <v>0</v>
      </c>
      <c r="AW51" s="20">
        <f t="shared" ref="AW51:AW55" si="43">SUM(AP51:AV51)</f>
        <v>0</v>
      </c>
    </row>
    <row r="52" spans="9:49">
      <c r="I52" s="4"/>
      <c r="M52" s="31"/>
      <c r="AL52" s="21" t="str">
        <v>REBECCA</v>
      </c>
      <c r="AM52" s="21">
        <v>0</v>
      </c>
      <c r="AO52" s="19">
        <v>19</v>
      </c>
      <c r="AP52" s="20">
        <f t="shared" si="35"/>
        <v>0</v>
      </c>
      <c r="AQ52" s="20">
        <f t="shared" si="36"/>
        <v>0</v>
      </c>
      <c r="AR52" s="20">
        <f t="shared" si="37"/>
        <v>0</v>
      </c>
      <c r="AS52" s="20">
        <f t="shared" si="38"/>
        <v>0</v>
      </c>
      <c r="AT52" s="20">
        <f t="shared" si="39"/>
        <v>0</v>
      </c>
      <c r="AU52" s="20">
        <f t="shared" si="40"/>
        <v>0</v>
      </c>
      <c r="AV52" s="20">
        <f t="shared" si="41"/>
        <v>0</v>
      </c>
      <c r="AW52" s="20">
        <f t="shared" si="43"/>
        <v>0</v>
      </c>
    </row>
    <row r="53" spans="9:49">
      <c r="I53" s="4"/>
      <c r="M53" s="31"/>
      <c r="AL53" s="21" t="str">
        <v>ROMANA</v>
      </c>
      <c r="AM53" s="21">
        <v>10.1</v>
      </c>
      <c r="AO53" s="19">
        <v>20</v>
      </c>
      <c r="AP53" s="20">
        <f t="shared" si="35"/>
        <v>0</v>
      </c>
      <c r="AQ53" s="20">
        <f t="shared" si="36"/>
        <v>0</v>
      </c>
      <c r="AR53" s="20">
        <f t="shared" si="37"/>
        <v>0</v>
      </c>
      <c r="AS53" s="20">
        <f t="shared" si="38"/>
        <v>0</v>
      </c>
      <c r="AT53" s="20">
        <f t="shared" si="39"/>
        <v>0</v>
      </c>
      <c r="AU53" s="20">
        <f t="shared" si="40"/>
        <v>0</v>
      </c>
      <c r="AV53" s="20">
        <f t="shared" si="41"/>
        <v>0</v>
      </c>
      <c r="AW53" s="20">
        <f t="shared" si="43"/>
        <v>0</v>
      </c>
    </row>
    <row r="54" spans="9:49">
      <c r="I54" s="4"/>
      <c r="M54" s="31"/>
      <c r="AL54" s="21" t="str">
        <v>RONAN</v>
      </c>
      <c r="AM54" s="21">
        <v>0</v>
      </c>
      <c r="AO54" s="19">
        <v>21</v>
      </c>
      <c r="AP54" s="20">
        <f t="shared" si="35"/>
        <v>0</v>
      </c>
      <c r="AQ54" s="20">
        <f t="shared" si="36"/>
        <v>0</v>
      </c>
      <c r="AR54" s="20">
        <f t="shared" si="37"/>
        <v>0</v>
      </c>
      <c r="AS54" s="20">
        <f t="shared" si="38"/>
        <v>0</v>
      </c>
      <c r="AT54" s="20">
        <f t="shared" si="39"/>
        <v>0</v>
      </c>
      <c r="AU54" s="20">
        <f t="shared" si="40"/>
        <v>0</v>
      </c>
      <c r="AV54" s="20">
        <f t="shared" si="41"/>
        <v>0</v>
      </c>
      <c r="AW54" s="20">
        <f t="shared" si="43"/>
        <v>0</v>
      </c>
    </row>
    <row r="55" spans="9:49">
      <c r="I55" s="4"/>
      <c r="M55" s="31"/>
      <c r="AL55" s="21" t="str">
        <v>SALLYANN</v>
      </c>
      <c r="AM55" s="21">
        <v>0</v>
      </c>
      <c r="AO55" s="19">
        <v>22</v>
      </c>
      <c r="AP55" s="20">
        <f t="shared" si="35"/>
        <v>0</v>
      </c>
      <c r="AQ55" s="20">
        <f t="shared" si="36"/>
        <v>0</v>
      </c>
      <c r="AR55" s="20">
        <f t="shared" si="37"/>
        <v>0</v>
      </c>
      <c r="AS55" s="20">
        <f t="shared" si="38"/>
        <v>0</v>
      </c>
      <c r="AT55" s="20">
        <f t="shared" si="39"/>
        <v>0</v>
      </c>
      <c r="AU55" s="20">
        <f t="shared" si="40"/>
        <v>0</v>
      </c>
      <c r="AV55" s="20">
        <f t="shared" si="41"/>
        <v>0</v>
      </c>
      <c r="AW55" s="20">
        <f t="shared" si="43"/>
        <v>0</v>
      </c>
    </row>
    <row r="56" spans="9:49">
      <c r="I56" s="4"/>
      <c r="M56" s="31"/>
      <c r="AL56" s="21" t="str">
        <v>SAM</v>
      </c>
      <c r="AM56" s="21">
        <v>9.5500000000000007</v>
      </c>
      <c r="AO56" s="16" t="s">
        <v>7</v>
      </c>
      <c r="AP56" s="20">
        <f t="shared" ref="AP56:AV56" si="44">SUM(AP40:AP50)</f>
        <v>8</v>
      </c>
      <c r="AQ56" s="20">
        <f t="shared" si="44"/>
        <v>8</v>
      </c>
      <c r="AR56" s="20">
        <f t="shared" si="44"/>
        <v>8</v>
      </c>
      <c r="AS56" s="20">
        <f t="shared" si="44"/>
        <v>8</v>
      </c>
      <c r="AT56" s="20">
        <f t="shared" si="44"/>
        <v>8</v>
      </c>
      <c r="AU56" s="20">
        <f t="shared" si="44"/>
        <v>0</v>
      </c>
      <c r="AV56" s="20">
        <f t="shared" si="44"/>
        <v>0</v>
      </c>
      <c r="AW56" s="20">
        <f>SUM(AP56:AV56)</f>
        <v>40</v>
      </c>
    </row>
    <row r="57" spans="9:49">
      <c r="I57" s="4"/>
      <c r="M57" s="31"/>
      <c r="AL57" s="21" t="str">
        <v>SORCHA</v>
      </c>
      <c r="AM57" s="21">
        <v>10.3</v>
      </c>
      <c r="AO57" s="21"/>
      <c r="AP57" s="21"/>
      <c r="AQ57" s="21"/>
      <c r="AR57" s="21"/>
      <c r="AS57" s="21"/>
      <c r="AT57" s="21"/>
      <c r="AU57" s="21"/>
      <c r="AV57" s="21"/>
      <c r="AW57" s="21"/>
    </row>
    <row r="58" spans="9:49">
      <c r="I58" s="4"/>
      <c r="J58" s="5"/>
      <c r="K58" s="5"/>
      <c r="L58" s="5"/>
      <c r="M58" s="32"/>
      <c r="N58" s="5"/>
      <c r="O58" s="5"/>
      <c r="P58" s="5"/>
      <c r="Q58" s="5"/>
      <c r="R58" s="4"/>
      <c r="AL58" s="21" t="str">
        <v>THOMAS</v>
      </c>
      <c r="AM58" s="21">
        <v>9.5500000000000007</v>
      </c>
      <c r="AO58" s="15" t="str">
        <f>IF(ISBLANK(A5),"",A5)</f>
        <v>brian</v>
      </c>
      <c r="AP58" s="18" t="s">
        <v>1</v>
      </c>
      <c r="AQ58" s="18" t="s">
        <v>2</v>
      </c>
      <c r="AR58" s="18" t="s">
        <v>3</v>
      </c>
      <c r="AS58" s="18" t="s">
        <v>2</v>
      </c>
      <c r="AT58" s="18" t="s">
        <v>4</v>
      </c>
      <c r="AU58" s="18" t="s">
        <v>0</v>
      </c>
      <c r="AV58" s="18" t="s">
        <v>0</v>
      </c>
      <c r="AW58" s="16" t="s">
        <v>8</v>
      </c>
    </row>
    <row r="59" spans="9:49">
      <c r="I59" s="4"/>
      <c r="M59" s="31"/>
      <c r="AL59" s="21" t="str">
        <v>VICTOR</v>
      </c>
      <c r="AM59" s="21">
        <v>9.5500000000000007</v>
      </c>
      <c r="AO59" s="19">
        <v>7</v>
      </c>
      <c r="AP59" s="20">
        <f t="shared" ref="AP59:AP74" si="45">IF(AND($AO59&gt;=$T$5,$AO59&lt;$U$5),1,0)</f>
        <v>0</v>
      </c>
      <c r="AQ59" s="20">
        <f t="shared" ref="AQ59:AQ74" si="46">IF(AND($AO59&gt;=$V$5,$AO59&lt;$W$5),1,0)</f>
        <v>0</v>
      </c>
      <c r="AR59" s="20">
        <f t="shared" ref="AR59:AR74" si="47">IF(AND($AO59&gt;=$X$5,$AO59&lt;$Y$5),1,0)</f>
        <v>0</v>
      </c>
      <c r="AS59" s="20">
        <f t="shared" ref="AS59:AS74" si="48">IF(AND($AO59&gt;=$Z$5,$AO59&lt;$AA$5),1,0)</f>
        <v>0</v>
      </c>
      <c r="AT59" s="20">
        <f t="shared" ref="AT59:AT74" si="49">IF(AND($AO59&gt;=$AB$5,$AO59&lt;$AC$5),1,0)</f>
        <v>0</v>
      </c>
      <c r="AU59" s="20">
        <f t="shared" ref="AU59:AU74" si="50">IF(AND($AO59&gt;=$AD$5,$AO59&lt;$AE$5),1,0)</f>
        <v>0</v>
      </c>
      <c r="AV59" s="20">
        <f t="shared" ref="AV59:AV74" si="51">IF(AND($AO59&gt;=$AF$5,$AO59&lt;$AG$5),1,0)</f>
        <v>0</v>
      </c>
      <c r="AW59" s="20">
        <f>SUM(AP59:AV59)</f>
        <v>0</v>
      </c>
    </row>
    <row r="60" spans="9:49">
      <c r="I60" s="4"/>
      <c r="M60" s="31"/>
      <c r="AL60" s="21" t="str">
        <v>VINCENT</v>
      </c>
      <c r="AM60" s="21">
        <v>0</v>
      </c>
      <c r="AO60" s="19">
        <v>8</v>
      </c>
      <c r="AP60" s="20">
        <f t="shared" si="45"/>
        <v>0</v>
      </c>
      <c r="AQ60" s="20">
        <f t="shared" si="46"/>
        <v>0</v>
      </c>
      <c r="AR60" s="20">
        <f t="shared" si="47"/>
        <v>0</v>
      </c>
      <c r="AS60" s="20">
        <f t="shared" si="48"/>
        <v>0</v>
      </c>
      <c r="AT60" s="20">
        <f t="shared" si="49"/>
        <v>0</v>
      </c>
      <c r="AU60" s="20">
        <f t="shared" si="50"/>
        <v>0</v>
      </c>
      <c r="AV60" s="20">
        <f t="shared" si="51"/>
        <v>0</v>
      </c>
      <c r="AW60" s="20">
        <f t="shared" ref="AW60:AW69" si="52">SUM(AP60:AV60)</f>
        <v>0</v>
      </c>
    </row>
    <row r="61" spans="9:49">
      <c r="I61" s="4"/>
      <c r="M61" s="31"/>
      <c r="AL61" s="21" t="str">
        <v>WIL</v>
      </c>
      <c r="AM61" s="21">
        <v>9.75</v>
      </c>
      <c r="AO61" s="19">
        <v>9</v>
      </c>
      <c r="AP61" s="20">
        <f t="shared" si="45"/>
        <v>0</v>
      </c>
      <c r="AQ61" s="20">
        <f t="shared" si="46"/>
        <v>0</v>
      </c>
      <c r="AR61" s="20">
        <f t="shared" si="47"/>
        <v>0</v>
      </c>
      <c r="AS61" s="20">
        <f t="shared" si="48"/>
        <v>0</v>
      </c>
      <c r="AT61" s="20">
        <f t="shared" si="49"/>
        <v>0</v>
      </c>
      <c r="AU61" s="20">
        <f t="shared" si="50"/>
        <v>0</v>
      </c>
      <c r="AV61" s="20">
        <f t="shared" si="51"/>
        <v>0</v>
      </c>
      <c r="AW61" s="20">
        <f t="shared" si="52"/>
        <v>0</v>
      </c>
    </row>
    <row r="62" spans="9:49">
      <c r="I62" s="4"/>
      <c r="M62" s="31"/>
      <c r="AL62" s="21" t="str">
        <v>WILLIAM</v>
      </c>
      <c r="AM62" s="21">
        <v>0</v>
      </c>
      <c r="AO62" s="19">
        <v>10</v>
      </c>
      <c r="AP62" s="20">
        <f t="shared" si="45"/>
        <v>0</v>
      </c>
      <c r="AQ62" s="20">
        <f t="shared" si="46"/>
        <v>0</v>
      </c>
      <c r="AR62" s="20">
        <f t="shared" si="47"/>
        <v>0</v>
      </c>
      <c r="AS62" s="20">
        <f t="shared" si="48"/>
        <v>1</v>
      </c>
      <c r="AT62" s="20">
        <f t="shared" si="49"/>
        <v>1</v>
      </c>
      <c r="AU62" s="20">
        <f t="shared" si="50"/>
        <v>1</v>
      </c>
      <c r="AV62" s="20">
        <f t="shared" si="51"/>
        <v>1</v>
      </c>
      <c r="AW62" s="20">
        <f t="shared" si="52"/>
        <v>4</v>
      </c>
    </row>
    <row r="63" spans="9:49">
      <c r="I63" s="4"/>
      <c r="M63" s="31"/>
      <c r="AL63" s="21" t="str">
        <v>YOLANDA</v>
      </c>
      <c r="AM63" s="21">
        <v>0</v>
      </c>
      <c r="AO63" s="19">
        <v>11</v>
      </c>
      <c r="AP63" s="20">
        <f t="shared" si="45"/>
        <v>0</v>
      </c>
      <c r="AQ63" s="20">
        <f t="shared" si="46"/>
        <v>0</v>
      </c>
      <c r="AR63" s="20">
        <f t="shared" si="47"/>
        <v>0</v>
      </c>
      <c r="AS63" s="20">
        <f t="shared" si="48"/>
        <v>1</v>
      </c>
      <c r="AT63" s="20">
        <f t="shared" si="49"/>
        <v>1</v>
      </c>
      <c r="AU63" s="20">
        <f t="shared" si="50"/>
        <v>1</v>
      </c>
      <c r="AV63" s="20">
        <f t="shared" si="51"/>
        <v>1</v>
      </c>
      <c r="AW63" s="20">
        <f t="shared" si="52"/>
        <v>4</v>
      </c>
    </row>
    <row r="64" spans="9:49">
      <c r="I64" s="4"/>
      <c r="M64" s="31"/>
      <c r="AL64" s="21" t="str">
        <v>ZELYKO</v>
      </c>
      <c r="AM64" s="21">
        <v>0</v>
      </c>
      <c r="AO64" s="19">
        <v>12</v>
      </c>
      <c r="AP64" s="20">
        <f t="shared" si="45"/>
        <v>0</v>
      </c>
      <c r="AQ64" s="20">
        <f t="shared" si="46"/>
        <v>0</v>
      </c>
      <c r="AR64" s="20">
        <f t="shared" si="47"/>
        <v>0</v>
      </c>
      <c r="AS64" s="20">
        <f t="shared" si="48"/>
        <v>1</v>
      </c>
      <c r="AT64" s="20">
        <f t="shared" si="49"/>
        <v>1</v>
      </c>
      <c r="AU64" s="20">
        <f t="shared" si="50"/>
        <v>1</v>
      </c>
      <c r="AV64" s="20">
        <f t="shared" si="51"/>
        <v>1</v>
      </c>
      <c r="AW64" s="20">
        <f t="shared" si="52"/>
        <v>4</v>
      </c>
    </row>
    <row r="65" spans="9:49">
      <c r="I65" s="4"/>
      <c r="M65" s="31"/>
      <c r="AL65" s="21" t="str">
        <v>ZINEDDINE</v>
      </c>
      <c r="AM65" s="21">
        <v>9.5500000000000007</v>
      </c>
      <c r="AO65" s="19">
        <v>13</v>
      </c>
      <c r="AP65" s="20">
        <f t="shared" si="45"/>
        <v>0</v>
      </c>
      <c r="AQ65" s="20">
        <f t="shared" si="46"/>
        <v>0</v>
      </c>
      <c r="AR65" s="20">
        <f t="shared" si="47"/>
        <v>0</v>
      </c>
      <c r="AS65" s="20">
        <f t="shared" si="48"/>
        <v>1</v>
      </c>
      <c r="AT65" s="20">
        <f t="shared" si="49"/>
        <v>1</v>
      </c>
      <c r="AU65" s="20">
        <f t="shared" si="50"/>
        <v>1</v>
      </c>
      <c r="AV65" s="20">
        <f t="shared" si="51"/>
        <v>1</v>
      </c>
      <c r="AW65" s="20">
        <f t="shared" si="52"/>
        <v>4</v>
      </c>
    </row>
    <row r="66" spans="9:49">
      <c r="I66" s="4"/>
      <c r="M66" s="31"/>
      <c r="AL66" s="21">
        <v>0</v>
      </c>
      <c r="AM66" s="21">
        <v>0</v>
      </c>
      <c r="AO66" s="19">
        <v>14</v>
      </c>
      <c r="AP66" s="20">
        <f t="shared" si="45"/>
        <v>0</v>
      </c>
      <c r="AQ66" s="20">
        <f t="shared" si="46"/>
        <v>0</v>
      </c>
      <c r="AR66" s="20">
        <f t="shared" si="47"/>
        <v>0</v>
      </c>
      <c r="AS66" s="20">
        <f t="shared" si="48"/>
        <v>1</v>
      </c>
      <c r="AT66" s="20">
        <f t="shared" si="49"/>
        <v>1</v>
      </c>
      <c r="AU66" s="20">
        <f t="shared" si="50"/>
        <v>1</v>
      </c>
      <c r="AV66" s="20">
        <f t="shared" si="51"/>
        <v>1</v>
      </c>
      <c r="AW66" s="20">
        <f t="shared" si="52"/>
        <v>4</v>
      </c>
    </row>
    <row r="67" spans="9:49">
      <c r="I67" s="4"/>
      <c r="M67" s="31"/>
      <c r="AL67" s="21">
        <v>0</v>
      </c>
      <c r="AM67" s="21">
        <v>0</v>
      </c>
      <c r="AO67" s="19">
        <v>15</v>
      </c>
      <c r="AP67" s="20">
        <f t="shared" si="45"/>
        <v>0</v>
      </c>
      <c r="AQ67" s="20">
        <f t="shared" si="46"/>
        <v>0</v>
      </c>
      <c r="AR67" s="20">
        <f t="shared" si="47"/>
        <v>0</v>
      </c>
      <c r="AS67" s="20">
        <f t="shared" si="48"/>
        <v>1</v>
      </c>
      <c r="AT67" s="20">
        <f t="shared" si="49"/>
        <v>1</v>
      </c>
      <c r="AU67" s="20">
        <f t="shared" si="50"/>
        <v>1</v>
      </c>
      <c r="AV67" s="20">
        <f t="shared" si="51"/>
        <v>1</v>
      </c>
      <c r="AW67" s="20">
        <f t="shared" si="52"/>
        <v>4</v>
      </c>
    </row>
    <row r="68" spans="9:49">
      <c r="I68" s="4"/>
      <c r="M68" s="31"/>
      <c r="AL68" s="21">
        <v>0</v>
      </c>
      <c r="AM68" s="21">
        <v>0</v>
      </c>
      <c r="AO68" s="19">
        <v>16</v>
      </c>
      <c r="AP68" s="20">
        <f t="shared" si="45"/>
        <v>0</v>
      </c>
      <c r="AQ68" s="20">
        <f t="shared" si="46"/>
        <v>0</v>
      </c>
      <c r="AR68" s="20">
        <f t="shared" si="47"/>
        <v>0</v>
      </c>
      <c r="AS68" s="20">
        <f t="shared" si="48"/>
        <v>1</v>
      </c>
      <c r="AT68" s="20">
        <f t="shared" si="49"/>
        <v>1</v>
      </c>
      <c r="AU68" s="20">
        <f t="shared" si="50"/>
        <v>1</v>
      </c>
      <c r="AV68" s="20">
        <f t="shared" si="51"/>
        <v>1</v>
      </c>
      <c r="AW68" s="20">
        <f t="shared" si="52"/>
        <v>4</v>
      </c>
    </row>
    <row r="69" spans="9:49">
      <c r="I69" s="4"/>
      <c r="M69" s="31"/>
      <c r="AL69" s="21">
        <v>0</v>
      </c>
      <c r="AM69" s="21">
        <v>0</v>
      </c>
      <c r="AO69" s="19">
        <v>17</v>
      </c>
      <c r="AP69" s="20">
        <f t="shared" si="45"/>
        <v>0</v>
      </c>
      <c r="AQ69" s="20">
        <f t="shared" si="46"/>
        <v>0</v>
      </c>
      <c r="AR69" s="20">
        <f t="shared" si="47"/>
        <v>0</v>
      </c>
      <c r="AS69" s="20">
        <f t="shared" si="48"/>
        <v>1</v>
      </c>
      <c r="AT69" s="20">
        <f t="shared" si="49"/>
        <v>1</v>
      </c>
      <c r="AU69" s="20">
        <f t="shared" si="50"/>
        <v>1</v>
      </c>
      <c r="AV69" s="20">
        <f t="shared" si="51"/>
        <v>0</v>
      </c>
      <c r="AW69" s="20">
        <f t="shared" si="52"/>
        <v>3</v>
      </c>
    </row>
    <row r="70" spans="9:49">
      <c r="I70" s="4"/>
      <c r="M70" s="31"/>
      <c r="AL70" s="21">
        <v>0</v>
      </c>
      <c r="AM70" s="21">
        <v>0</v>
      </c>
      <c r="AO70" s="19">
        <v>18</v>
      </c>
      <c r="AP70" s="20">
        <f t="shared" si="45"/>
        <v>0</v>
      </c>
      <c r="AQ70" s="20">
        <f t="shared" si="46"/>
        <v>0</v>
      </c>
      <c r="AR70" s="20">
        <f t="shared" si="47"/>
        <v>0</v>
      </c>
      <c r="AS70" s="20">
        <f t="shared" si="48"/>
        <v>0</v>
      </c>
      <c r="AT70" s="20">
        <f t="shared" si="49"/>
        <v>0</v>
      </c>
      <c r="AU70" s="20">
        <f t="shared" si="50"/>
        <v>0</v>
      </c>
      <c r="AV70" s="20">
        <f t="shared" si="51"/>
        <v>0</v>
      </c>
      <c r="AW70" s="20">
        <f t="shared" ref="AW70:AW74" si="53">SUM(AP70:AV70)</f>
        <v>0</v>
      </c>
    </row>
    <row r="71" spans="9:49">
      <c r="I71" s="4"/>
      <c r="M71" s="31"/>
      <c r="AL71" s="21">
        <v>0</v>
      </c>
      <c r="AM71" s="21">
        <v>0</v>
      </c>
      <c r="AO71" s="19">
        <v>19</v>
      </c>
      <c r="AP71" s="20">
        <f t="shared" si="45"/>
        <v>0</v>
      </c>
      <c r="AQ71" s="20">
        <f t="shared" si="46"/>
        <v>0</v>
      </c>
      <c r="AR71" s="20">
        <f t="shared" si="47"/>
        <v>0</v>
      </c>
      <c r="AS71" s="20">
        <f t="shared" si="48"/>
        <v>0</v>
      </c>
      <c r="AT71" s="20">
        <f t="shared" si="49"/>
        <v>0</v>
      </c>
      <c r="AU71" s="20">
        <f t="shared" si="50"/>
        <v>0</v>
      </c>
      <c r="AV71" s="20">
        <f t="shared" si="51"/>
        <v>0</v>
      </c>
      <c r="AW71" s="20">
        <f t="shared" si="53"/>
        <v>0</v>
      </c>
    </row>
    <row r="72" spans="9:49">
      <c r="I72" s="4"/>
      <c r="M72" s="31"/>
      <c r="AL72" s="21">
        <v>0</v>
      </c>
      <c r="AM72" s="21">
        <v>0</v>
      </c>
      <c r="AO72" s="19">
        <v>20</v>
      </c>
      <c r="AP72" s="20">
        <f t="shared" si="45"/>
        <v>0</v>
      </c>
      <c r="AQ72" s="20">
        <f t="shared" si="46"/>
        <v>0</v>
      </c>
      <c r="AR72" s="20">
        <f t="shared" si="47"/>
        <v>0</v>
      </c>
      <c r="AS72" s="20">
        <f t="shared" si="48"/>
        <v>0</v>
      </c>
      <c r="AT72" s="20">
        <f t="shared" si="49"/>
        <v>0</v>
      </c>
      <c r="AU72" s="20">
        <f t="shared" si="50"/>
        <v>0</v>
      </c>
      <c r="AV72" s="20">
        <f t="shared" si="51"/>
        <v>0</v>
      </c>
      <c r="AW72" s="20">
        <f t="shared" si="53"/>
        <v>0</v>
      </c>
    </row>
    <row r="73" spans="9:49">
      <c r="I73" s="4"/>
      <c r="M73" s="31"/>
      <c r="AL73" s="21">
        <v>0</v>
      </c>
      <c r="AM73" s="21">
        <v>0</v>
      </c>
      <c r="AO73" s="19">
        <v>21</v>
      </c>
      <c r="AP73" s="20">
        <f t="shared" si="45"/>
        <v>0</v>
      </c>
      <c r="AQ73" s="20">
        <f t="shared" si="46"/>
        <v>0</v>
      </c>
      <c r="AR73" s="20">
        <f t="shared" si="47"/>
        <v>0</v>
      </c>
      <c r="AS73" s="20">
        <f t="shared" si="48"/>
        <v>0</v>
      </c>
      <c r="AT73" s="20">
        <f t="shared" si="49"/>
        <v>0</v>
      </c>
      <c r="AU73" s="20">
        <f t="shared" si="50"/>
        <v>0</v>
      </c>
      <c r="AV73" s="20">
        <f t="shared" si="51"/>
        <v>0</v>
      </c>
      <c r="AW73" s="20">
        <f t="shared" si="53"/>
        <v>0</v>
      </c>
    </row>
    <row r="74" spans="9:49">
      <c r="I74" s="4"/>
      <c r="M74" s="31"/>
      <c r="AL74" s="21">
        <v>0</v>
      </c>
      <c r="AM74" s="21">
        <v>0</v>
      </c>
      <c r="AO74" s="19">
        <v>22</v>
      </c>
      <c r="AP74" s="20">
        <f t="shared" si="45"/>
        <v>0</v>
      </c>
      <c r="AQ74" s="20">
        <f t="shared" si="46"/>
        <v>0</v>
      </c>
      <c r="AR74" s="20">
        <f t="shared" si="47"/>
        <v>0</v>
      </c>
      <c r="AS74" s="20">
        <f t="shared" si="48"/>
        <v>0</v>
      </c>
      <c r="AT74" s="20">
        <f t="shared" si="49"/>
        <v>0</v>
      </c>
      <c r="AU74" s="20">
        <f t="shared" si="50"/>
        <v>0</v>
      </c>
      <c r="AV74" s="20">
        <f t="shared" si="51"/>
        <v>0</v>
      </c>
      <c r="AW74" s="20">
        <f t="shared" si="53"/>
        <v>0</v>
      </c>
    </row>
    <row r="75" spans="9:49">
      <c r="I75" s="4"/>
      <c r="M75" s="31"/>
      <c r="AL75" s="21">
        <v>0</v>
      </c>
      <c r="AM75" s="21">
        <v>0</v>
      </c>
      <c r="AO75" s="16" t="s">
        <v>7</v>
      </c>
      <c r="AP75" s="20">
        <f>SUM(AP59:AP69)</f>
        <v>0</v>
      </c>
      <c r="AQ75" s="20">
        <f t="shared" ref="AQ75" si="54">SUM(AQ59:AQ69)</f>
        <v>0</v>
      </c>
      <c r="AR75" s="20">
        <f t="shared" ref="AR75" si="55">SUM(AR59:AR69)</f>
        <v>0</v>
      </c>
      <c r="AS75" s="20">
        <f t="shared" ref="AS75" si="56">SUM(AS59:AS69)</f>
        <v>8</v>
      </c>
      <c r="AT75" s="20">
        <f t="shared" ref="AT75" si="57">SUM(AT59:AT69)</f>
        <v>8</v>
      </c>
      <c r="AU75" s="20">
        <f t="shared" ref="AU75" si="58">SUM(AU59:AU69)</f>
        <v>8</v>
      </c>
      <c r="AV75" s="20">
        <f t="shared" ref="AV75" si="59">SUM(AV59:AV69)</f>
        <v>7</v>
      </c>
      <c r="AW75" s="20">
        <f>SUM(AP75:AV75)</f>
        <v>31</v>
      </c>
    </row>
    <row r="76" spans="9:49">
      <c r="I76" s="4"/>
      <c r="M76" s="31"/>
      <c r="AL76" s="21">
        <v>0</v>
      </c>
      <c r="AM76" s="21">
        <v>0</v>
      </c>
      <c r="AO76" s="21"/>
      <c r="AP76" s="21"/>
      <c r="AQ76" s="21"/>
      <c r="AR76" s="21"/>
      <c r="AS76" s="21"/>
      <c r="AT76" s="21"/>
      <c r="AU76" s="21"/>
      <c r="AV76" s="21"/>
      <c r="AW76" s="21"/>
    </row>
    <row r="77" spans="9:49">
      <c r="I77" s="4"/>
      <c r="J77" s="5"/>
      <c r="K77" s="5"/>
      <c r="L77" s="5"/>
      <c r="M77" s="32"/>
      <c r="N77" s="5"/>
      <c r="O77" s="5"/>
      <c r="P77" s="5"/>
      <c r="Q77" s="5"/>
      <c r="AL77" s="21">
        <v>0</v>
      </c>
      <c r="AM77" s="21">
        <v>0</v>
      </c>
      <c r="AO77" s="15" t="str">
        <f>IF(ISBLANK(A6),"",A6)</f>
        <v>gemma</v>
      </c>
      <c r="AP77" s="18" t="s">
        <v>1</v>
      </c>
      <c r="AQ77" s="18" t="s">
        <v>2</v>
      </c>
      <c r="AR77" s="18" t="s">
        <v>3</v>
      </c>
      <c r="AS77" s="18" t="s">
        <v>2</v>
      </c>
      <c r="AT77" s="18" t="s">
        <v>4</v>
      </c>
      <c r="AU77" s="18" t="s">
        <v>0</v>
      </c>
      <c r="AV77" s="18" t="s">
        <v>0</v>
      </c>
      <c r="AW77" s="16" t="s">
        <v>8</v>
      </c>
    </row>
    <row r="78" spans="9:49">
      <c r="I78" s="4"/>
      <c r="M78" s="31"/>
      <c r="R78" s="4"/>
      <c r="AL78" s="21">
        <v>0</v>
      </c>
      <c r="AM78" s="21">
        <v>0</v>
      </c>
      <c r="AO78" s="19">
        <v>7</v>
      </c>
      <c r="AP78" s="20">
        <f t="shared" ref="AP78:AP93" si="60">IF(AND($AO78&gt;=$T$6,$AO78&lt;$U$6),1,0)</f>
        <v>0</v>
      </c>
      <c r="AQ78" s="20">
        <f t="shared" ref="AQ78:AQ93" si="61">IF(AND($AO78&gt;=$V$6,$AO78&lt;$W$6),1,0)</f>
        <v>0</v>
      </c>
      <c r="AR78" s="20">
        <f t="shared" ref="AR78:AR93" si="62">IF(AND($AO78&gt;=$X$6,$AO78&lt;$Y$6),1,0)</f>
        <v>0</v>
      </c>
      <c r="AS78" s="20">
        <f t="shared" ref="AS78:AS93" si="63">IF(AND($AO78&gt;=$Z$6,$AO78&lt;$AA$6),1,0)</f>
        <v>0</v>
      </c>
      <c r="AT78" s="20">
        <f t="shared" ref="AT78:AT93" si="64">IF(AND($AO78&gt;=$AB$6,$AO78&lt;$AC$6),1,0)</f>
        <v>0</v>
      </c>
      <c r="AU78" s="20">
        <f t="shared" ref="AU78:AU93" si="65">IF(AND($AO78&gt;=$AD$6,$AO78&lt;$AE$6),1,0)</f>
        <v>0</v>
      </c>
      <c r="AV78" s="20">
        <f t="shared" ref="AV78:AV93" si="66">IF(AND($AO78&gt;=$AF$6,$AO78&lt;$AG$6),1,0)</f>
        <v>0</v>
      </c>
      <c r="AW78" s="20">
        <f>SUM(AP78:AV78)</f>
        <v>0</v>
      </c>
    </row>
    <row r="79" spans="9:49">
      <c r="I79" s="4"/>
      <c r="M79" s="31"/>
      <c r="AL79" s="21">
        <v>0</v>
      </c>
      <c r="AM79" s="21">
        <v>0</v>
      </c>
      <c r="AO79" s="19">
        <v>8</v>
      </c>
      <c r="AP79" s="20">
        <f t="shared" si="60"/>
        <v>0</v>
      </c>
      <c r="AQ79" s="20">
        <f t="shared" si="61"/>
        <v>0</v>
      </c>
      <c r="AR79" s="20">
        <f t="shared" si="62"/>
        <v>0</v>
      </c>
      <c r="AS79" s="20">
        <f t="shared" si="63"/>
        <v>0</v>
      </c>
      <c r="AT79" s="20">
        <f t="shared" si="64"/>
        <v>0</v>
      </c>
      <c r="AU79" s="20">
        <f t="shared" si="65"/>
        <v>0</v>
      </c>
      <c r="AV79" s="20">
        <f t="shared" si="66"/>
        <v>0</v>
      </c>
      <c r="AW79" s="20">
        <f t="shared" ref="AW79:AW88" si="67">SUM(AP79:AV79)</f>
        <v>0</v>
      </c>
    </row>
    <row r="80" spans="9:49">
      <c r="I80" s="4"/>
      <c r="M80" s="31"/>
      <c r="AL80" s="21">
        <v>0</v>
      </c>
      <c r="AM80" s="21">
        <v>0</v>
      </c>
      <c r="AO80" s="19">
        <v>9</v>
      </c>
      <c r="AP80" s="20">
        <f t="shared" si="60"/>
        <v>0</v>
      </c>
      <c r="AQ80" s="20">
        <f t="shared" si="61"/>
        <v>0</v>
      </c>
      <c r="AR80" s="20">
        <f t="shared" si="62"/>
        <v>0</v>
      </c>
      <c r="AS80" s="20">
        <f t="shared" si="63"/>
        <v>0</v>
      </c>
      <c r="AT80" s="20">
        <f t="shared" si="64"/>
        <v>0</v>
      </c>
      <c r="AU80" s="20">
        <f t="shared" si="65"/>
        <v>1</v>
      </c>
      <c r="AV80" s="20">
        <f t="shared" si="66"/>
        <v>0</v>
      </c>
      <c r="AW80" s="20">
        <f t="shared" si="67"/>
        <v>1</v>
      </c>
    </row>
    <row r="81" spans="9:49">
      <c r="I81" s="4"/>
      <c r="M81" s="31"/>
      <c r="AL81" s="21">
        <v>0</v>
      </c>
      <c r="AM81" s="21">
        <v>0</v>
      </c>
      <c r="AO81" s="19">
        <v>10</v>
      </c>
      <c r="AP81" s="20">
        <f t="shared" si="60"/>
        <v>0</v>
      </c>
      <c r="AQ81" s="20">
        <f t="shared" si="61"/>
        <v>0</v>
      </c>
      <c r="AR81" s="20">
        <f t="shared" si="62"/>
        <v>0</v>
      </c>
      <c r="AS81" s="20">
        <f t="shared" si="63"/>
        <v>0</v>
      </c>
      <c r="AT81" s="20">
        <f t="shared" si="64"/>
        <v>0</v>
      </c>
      <c r="AU81" s="20">
        <f t="shared" si="65"/>
        <v>1</v>
      </c>
      <c r="AV81" s="20">
        <f t="shared" si="66"/>
        <v>0</v>
      </c>
      <c r="AW81" s="20">
        <f t="shared" si="67"/>
        <v>1</v>
      </c>
    </row>
    <row r="82" spans="9:49">
      <c r="I82" s="4"/>
      <c r="M82" s="31"/>
      <c r="AL82" s="21">
        <v>0</v>
      </c>
      <c r="AM82" s="21">
        <v>0</v>
      </c>
      <c r="AO82" s="19">
        <v>11</v>
      </c>
      <c r="AP82" s="20">
        <f t="shared" si="60"/>
        <v>0</v>
      </c>
      <c r="AQ82" s="20">
        <f t="shared" si="61"/>
        <v>0</v>
      </c>
      <c r="AR82" s="20">
        <f t="shared" si="62"/>
        <v>0</v>
      </c>
      <c r="AS82" s="20">
        <f t="shared" si="63"/>
        <v>0</v>
      </c>
      <c r="AT82" s="20">
        <f t="shared" si="64"/>
        <v>0</v>
      </c>
      <c r="AU82" s="20">
        <f t="shared" si="65"/>
        <v>1</v>
      </c>
      <c r="AV82" s="20">
        <f t="shared" si="66"/>
        <v>1</v>
      </c>
      <c r="AW82" s="20">
        <f t="shared" si="67"/>
        <v>2</v>
      </c>
    </row>
    <row r="83" spans="9:49">
      <c r="I83" s="4"/>
      <c r="M83" s="31"/>
      <c r="AL83" s="21">
        <v>0</v>
      </c>
      <c r="AM83" s="21">
        <v>0</v>
      </c>
      <c r="AO83" s="19">
        <v>12</v>
      </c>
      <c r="AP83" s="20">
        <f t="shared" si="60"/>
        <v>0</v>
      </c>
      <c r="AQ83" s="20">
        <f t="shared" si="61"/>
        <v>0</v>
      </c>
      <c r="AR83" s="20">
        <f t="shared" si="62"/>
        <v>0</v>
      </c>
      <c r="AS83" s="20">
        <f t="shared" si="63"/>
        <v>0</v>
      </c>
      <c r="AT83" s="20">
        <f t="shared" si="64"/>
        <v>0</v>
      </c>
      <c r="AU83" s="20">
        <f t="shared" si="65"/>
        <v>1</v>
      </c>
      <c r="AV83" s="20">
        <f t="shared" si="66"/>
        <v>1</v>
      </c>
      <c r="AW83" s="20">
        <f t="shared" si="67"/>
        <v>2</v>
      </c>
    </row>
    <row r="84" spans="9:49">
      <c r="I84" s="4"/>
      <c r="M84" s="31"/>
      <c r="AL84" s="21">
        <v>0</v>
      </c>
      <c r="AM84" s="21">
        <v>0</v>
      </c>
      <c r="AO84" s="19">
        <v>13</v>
      </c>
      <c r="AP84" s="20">
        <f t="shared" si="60"/>
        <v>0</v>
      </c>
      <c r="AQ84" s="20">
        <f t="shared" si="61"/>
        <v>0</v>
      </c>
      <c r="AR84" s="20">
        <f t="shared" si="62"/>
        <v>0</v>
      </c>
      <c r="AS84" s="20">
        <f t="shared" si="63"/>
        <v>0</v>
      </c>
      <c r="AT84" s="20">
        <f t="shared" si="64"/>
        <v>0</v>
      </c>
      <c r="AU84" s="20">
        <f t="shared" si="65"/>
        <v>1</v>
      </c>
      <c r="AV84" s="20">
        <f t="shared" si="66"/>
        <v>1</v>
      </c>
      <c r="AW84" s="20">
        <f t="shared" si="67"/>
        <v>2</v>
      </c>
    </row>
    <row r="85" spans="9:49">
      <c r="I85" s="4"/>
      <c r="M85" s="31"/>
      <c r="AL85" s="21">
        <v>0</v>
      </c>
      <c r="AM85" s="21">
        <v>0</v>
      </c>
      <c r="AO85" s="19">
        <v>14</v>
      </c>
      <c r="AP85" s="20">
        <f t="shared" si="60"/>
        <v>0</v>
      </c>
      <c r="AQ85" s="20">
        <f t="shared" si="61"/>
        <v>0</v>
      </c>
      <c r="AR85" s="20">
        <f t="shared" si="62"/>
        <v>0</v>
      </c>
      <c r="AS85" s="20">
        <f t="shared" si="63"/>
        <v>0</v>
      </c>
      <c r="AT85" s="20">
        <f t="shared" si="64"/>
        <v>0</v>
      </c>
      <c r="AU85" s="20">
        <f t="shared" si="65"/>
        <v>1</v>
      </c>
      <c r="AV85" s="20">
        <f t="shared" si="66"/>
        <v>1</v>
      </c>
      <c r="AW85" s="20">
        <f t="shared" si="67"/>
        <v>2</v>
      </c>
    </row>
    <row r="86" spans="9:49">
      <c r="I86" s="4"/>
      <c r="M86" s="31"/>
      <c r="AL86" s="21">
        <v>0</v>
      </c>
      <c r="AM86" s="21">
        <v>0</v>
      </c>
      <c r="AO86" s="19">
        <v>15</v>
      </c>
      <c r="AP86" s="20">
        <f t="shared" si="60"/>
        <v>0</v>
      </c>
      <c r="AQ86" s="20">
        <f t="shared" si="61"/>
        <v>0</v>
      </c>
      <c r="AR86" s="20">
        <f t="shared" si="62"/>
        <v>0</v>
      </c>
      <c r="AS86" s="20">
        <f t="shared" si="63"/>
        <v>0</v>
      </c>
      <c r="AT86" s="20">
        <f t="shared" si="64"/>
        <v>0</v>
      </c>
      <c r="AU86" s="20">
        <f t="shared" si="65"/>
        <v>1</v>
      </c>
      <c r="AV86" s="20">
        <f t="shared" si="66"/>
        <v>1</v>
      </c>
      <c r="AW86" s="20">
        <f t="shared" si="67"/>
        <v>2</v>
      </c>
    </row>
    <row r="87" spans="9:49">
      <c r="I87" s="4"/>
      <c r="M87" s="31"/>
      <c r="AL87" s="21">
        <v>0</v>
      </c>
      <c r="AM87" s="21">
        <v>0</v>
      </c>
      <c r="AO87" s="19">
        <v>16</v>
      </c>
      <c r="AP87" s="20">
        <f t="shared" si="60"/>
        <v>0</v>
      </c>
      <c r="AQ87" s="20">
        <f t="shared" si="61"/>
        <v>0</v>
      </c>
      <c r="AR87" s="20">
        <f t="shared" si="62"/>
        <v>0</v>
      </c>
      <c r="AS87" s="20">
        <f t="shared" si="63"/>
        <v>0</v>
      </c>
      <c r="AT87" s="20">
        <f t="shared" si="64"/>
        <v>0</v>
      </c>
      <c r="AU87" s="20">
        <f t="shared" si="65"/>
        <v>1</v>
      </c>
      <c r="AV87" s="20">
        <f t="shared" si="66"/>
        <v>1</v>
      </c>
      <c r="AW87" s="20">
        <f t="shared" si="67"/>
        <v>2</v>
      </c>
    </row>
    <row r="88" spans="9:49">
      <c r="I88" s="4"/>
      <c r="M88" s="31"/>
      <c r="AL88" s="21">
        <v>0</v>
      </c>
      <c r="AM88" s="21">
        <v>0</v>
      </c>
      <c r="AO88" s="19">
        <v>17</v>
      </c>
      <c r="AP88" s="20">
        <f t="shared" si="60"/>
        <v>0</v>
      </c>
      <c r="AQ88" s="20">
        <f t="shared" si="61"/>
        <v>0</v>
      </c>
      <c r="AR88" s="20">
        <f t="shared" si="62"/>
        <v>0</v>
      </c>
      <c r="AS88" s="20">
        <f t="shared" si="63"/>
        <v>0</v>
      </c>
      <c r="AT88" s="20">
        <f t="shared" si="64"/>
        <v>0</v>
      </c>
      <c r="AU88" s="20">
        <f t="shared" si="65"/>
        <v>0</v>
      </c>
      <c r="AV88" s="20">
        <f t="shared" si="66"/>
        <v>1</v>
      </c>
      <c r="AW88" s="20">
        <f t="shared" si="67"/>
        <v>1</v>
      </c>
    </row>
    <row r="89" spans="9:49">
      <c r="I89" s="4"/>
      <c r="M89" s="31"/>
      <c r="AL89" s="21">
        <v>0</v>
      </c>
      <c r="AM89" s="21">
        <v>0</v>
      </c>
      <c r="AO89" s="19">
        <v>18</v>
      </c>
      <c r="AP89" s="20">
        <f t="shared" si="60"/>
        <v>0</v>
      </c>
      <c r="AQ89" s="20">
        <f t="shared" si="61"/>
        <v>0</v>
      </c>
      <c r="AR89" s="20">
        <f t="shared" si="62"/>
        <v>0</v>
      </c>
      <c r="AS89" s="20">
        <f t="shared" si="63"/>
        <v>0</v>
      </c>
      <c r="AT89" s="20">
        <f t="shared" si="64"/>
        <v>0</v>
      </c>
      <c r="AU89" s="20">
        <f t="shared" si="65"/>
        <v>0</v>
      </c>
      <c r="AV89" s="20">
        <f t="shared" si="66"/>
        <v>0</v>
      </c>
      <c r="AW89" s="20">
        <f t="shared" ref="AW89:AW93" si="68">SUM(AP89:AV89)</f>
        <v>0</v>
      </c>
    </row>
    <row r="90" spans="9:49">
      <c r="I90" s="4"/>
      <c r="M90" s="31"/>
      <c r="AL90" s="21">
        <v>0</v>
      </c>
      <c r="AM90" s="21">
        <v>0</v>
      </c>
      <c r="AO90" s="19">
        <v>19</v>
      </c>
      <c r="AP90" s="20">
        <f t="shared" si="60"/>
        <v>0</v>
      </c>
      <c r="AQ90" s="20">
        <f t="shared" si="61"/>
        <v>0</v>
      </c>
      <c r="AR90" s="20">
        <f t="shared" si="62"/>
        <v>0</v>
      </c>
      <c r="AS90" s="20">
        <f t="shared" si="63"/>
        <v>0</v>
      </c>
      <c r="AT90" s="20">
        <f t="shared" si="64"/>
        <v>0</v>
      </c>
      <c r="AU90" s="20">
        <f t="shared" si="65"/>
        <v>0</v>
      </c>
      <c r="AV90" s="20">
        <f t="shared" si="66"/>
        <v>0</v>
      </c>
      <c r="AW90" s="20">
        <f t="shared" si="68"/>
        <v>0</v>
      </c>
    </row>
    <row r="91" spans="9:49">
      <c r="I91" s="4"/>
      <c r="M91" s="31"/>
      <c r="AL91" s="21">
        <v>0</v>
      </c>
      <c r="AM91" s="21">
        <v>0</v>
      </c>
      <c r="AO91" s="19">
        <v>20</v>
      </c>
      <c r="AP91" s="20">
        <f t="shared" si="60"/>
        <v>0</v>
      </c>
      <c r="AQ91" s="20">
        <f t="shared" si="61"/>
        <v>0</v>
      </c>
      <c r="AR91" s="20">
        <f t="shared" si="62"/>
        <v>0</v>
      </c>
      <c r="AS91" s="20">
        <f t="shared" si="63"/>
        <v>0</v>
      </c>
      <c r="AT91" s="20">
        <f t="shared" si="64"/>
        <v>0</v>
      </c>
      <c r="AU91" s="20">
        <f t="shared" si="65"/>
        <v>0</v>
      </c>
      <c r="AV91" s="20">
        <f t="shared" si="66"/>
        <v>0</v>
      </c>
      <c r="AW91" s="20">
        <f t="shared" si="68"/>
        <v>0</v>
      </c>
    </row>
    <row r="92" spans="9:49">
      <c r="I92" s="4"/>
      <c r="M92" s="31"/>
      <c r="AL92" s="21">
        <v>0</v>
      </c>
      <c r="AM92" s="21">
        <v>0</v>
      </c>
      <c r="AO92" s="19">
        <v>21</v>
      </c>
      <c r="AP92" s="20">
        <f t="shared" si="60"/>
        <v>0</v>
      </c>
      <c r="AQ92" s="20">
        <f t="shared" si="61"/>
        <v>0</v>
      </c>
      <c r="AR92" s="20">
        <f t="shared" si="62"/>
        <v>0</v>
      </c>
      <c r="AS92" s="20">
        <f t="shared" si="63"/>
        <v>0</v>
      </c>
      <c r="AT92" s="20">
        <f t="shared" si="64"/>
        <v>0</v>
      </c>
      <c r="AU92" s="20">
        <f t="shared" si="65"/>
        <v>0</v>
      </c>
      <c r="AV92" s="20">
        <f t="shared" si="66"/>
        <v>0</v>
      </c>
      <c r="AW92" s="20">
        <f t="shared" si="68"/>
        <v>0</v>
      </c>
    </row>
    <row r="93" spans="9:49">
      <c r="I93" s="4"/>
      <c r="M93" s="31"/>
      <c r="AL93" s="21">
        <v>0</v>
      </c>
      <c r="AM93" s="21">
        <v>0</v>
      </c>
      <c r="AO93" s="19">
        <v>22</v>
      </c>
      <c r="AP93" s="20">
        <f t="shared" si="60"/>
        <v>0</v>
      </c>
      <c r="AQ93" s="20">
        <f t="shared" si="61"/>
        <v>0</v>
      </c>
      <c r="AR93" s="20">
        <f t="shared" si="62"/>
        <v>0</v>
      </c>
      <c r="AS93" s="20">
        <f t="shared" si="63"/>
        <v>0</v>
      </c>
      <c r="AT93" s="20">
        <f t="shared" si="64"/>
        <v>0</v>
      </c>
      <c r="AU93" s="20">
        <f t="shared" si="65"/>
        <v>0</v>
      </c>
      <c r="AV93" s="20">
        <f t="shared" si="66"/>
        <v>0</v>
      </c>
      <c r="AW93" s="20">
        <f t="shared" si="68"/>
        <v>0</v>
      </c>
    </row>
    <row r="94" spans="9:49">
      <c r="I94" s="4"/>
      <c r="M94" s="31"/>
      <c r="AL94" s="21">
        <v>0</v>
      </c>
      <c r="AM94" s="21">
        <v>0</v>
      </c>
      <c r="AO94" s="16" t="s">
        <v>7</v>
      </c>
      <c r="AP94" s="20">
        <f>SUM(AP78:AP88)</f>
        <v>0</v>
      </c>
      <c r="AQ94" s="20">
        <f t="shared" ref="AQ94" si="69">SUM(AQ78:AQ88)</f>
        <v>0</v>
      </c>
      <c r="AR94" s="20">
        <f t="shared" ref="AR94" si="70">SUM(AR78:AR88)</f>
        <v>0</v>
      </c>
      <c r="AS94" s="20">
        <f t="shared" ref="AS94" si="71">SUM(AS78:AS88)</f>
        <v>0</v>
      </c>
      <c r="AT94" s="20">
        <f t="shared" ref="AT94" si="72">SUM(AT78:AT88)</f>
        <v>0</v>
      </c>
      <c r="AU94" s="20">
        <f t="shared" ref="AU94" si="73">SUM(AU78:AU88)</f>
        <v>8</v>
      </c>
      <c r="AV94" s="20">
        <f t="shared" ref="AV94" si="74">SUM(AV78:AV88)</f>
        <v>7</v>
      </c>
      <c r="AW94" s="20">
        <f>SUM(AP94:AV94)</f>
        <v>15</v>
      </c>
    </row>
    <row r="95" spans="9:49">
      <c r="I95" s="4"/>
      <c r="M95" s="31"/>
      <c r="AL95" s="21">
        <v>0</v>
      </c>
      <c r="AM95" s="21">
        <v>0</v>
      </c>
      <c r="AO95" s="21"/>
      <c r="AP95" s="21"/>
      <c r="AQ95" s="21"/>
      <c r="AR95" s="21"/>
      <c r="AS95" s="21"/>
      <c r="AT95" s="21"/>
      <c r="AU95" s="21"/>
      <c r="AV95" s="21"/>
      <c r="AW95" s="21"/>
    </row>
    <row r="96" spans="9:49">
      <c r="I96" s="4"/>
      <c r="M96" s="31"/>
      <c r="AL96" s="21">
        <v>0</v>
      </c>
      <c r="AM96" s="21">
        <v>0</v>
      </c>
      <c r="AO96" s="15" t="str">
        <f>IF(ISBLANK(A7),"",A7)</f>
        <v/>
      </c>
      <c r="AP96" s="18" t="s">
        <v>1</v>
      </c>
      <c r="AQ96" s="18" t="s">
        <v>2</v>
      </c>
      <c r="AR96" s="18" t="s">
        <v>3</v>
      </c>
      <c r="AS96" s="18" t="s">
        <v>2</v>
      </c>
      <c r="AT96" s="18" t="s">
        <v>4</v>
      </c>
      <c r="AU96" s="18" t="s">
        <v>0</v>
      </c>
      <c r="AV96" s="18" t="s">
        <v>0</v>
      </c>
      <c r="AW96" s="16" t="s">
        <v>8</v>
      </c>
    </row>
    <row r="97" spans="9:49">
      <c r="I97" s="4"/>
      <c r="M97" s="31"/>
      <c r="AL97" s="21">
        <v>0</v>
      </c>
      <c r="AM97" s="21">
        <v>0</v>
      </c>
      <c r="AO97" s="19">
        <v>7</v>
      </c>
      <c r="AP97" s="20">
        <f t="shared" ref="AP97:AP112" si="75">IF(AND($AO97&gt;=$T$7,$AO97&lt;$U$7),1,0)</f>
        <v>0</v>
      </c>
      <c r="AQ97" s="20">
        <f t="shared" ref="AQ97:AQ112" si="76">IF(AND($AO97&gt;=$V$7,$AO97&lt;$W$7),1,0)</f>
        <v>0</v>
      </c>
      <c r="AR97" s="20">
        <f t="shared" ref="AR97:AR112" si="77">IF(AND($AO97&gt;=$X$7,$AO97&lt;$Y$7),1,0)</f>
        <v>0</v>
      </c>
      <c r="AS97" s="20">
        <f t="shared" ref="AS97:AS112" si="78">IF(AND($AO97&gt;=$Z$7,$AO97&lt;$AA$7),1,0)</f>
        <v>0</v>
      </c>
      <c r="AT97" s="20">
        <f t="shared" ref="AT97:AT112" si="79">IF(AND($AO97&gt;=$AB$7,$AO97&lt;$AC$7),1,0)</f>
        <v>0</v>
      </c>
      <c r="AU97" s="20">
        <f t="shared" ref="AU97:AU112" si="80">IF(AND($AO97&gt;=$AD$7,$AO97&lt;$AE$7),1,0)</f>
        <v>0</v>
      </c>
      <c r="AV97" s="20">
        <f t="shared" ref="AV97:AV112" si="81">IF(AND($AO97&gt;=$AF$7,$AO97&lt;$AG$7),1,0)</f>
        <v>0</v>
      </c>
      <c r="AW97" s="20">
        <f>SUM(AP97:AV97)</f>
        <v>0</v>
      </c>
    </row>
    <row r="98" spans="9:49">
      <c r="I98" s="4"/>
      <c r="M98" s="31"/>
      <c r="AL98" s="21">
        <v>0</v>
      </c>
      <c r="AM98" s="21">
        <v>0</v>
      </c>
      <c r="AO98" s="19">
        <v>8</v>
      </c>
      <c r="AP98" s="20">
        <f t="shared" si="75"/>
        <v>0</v>
      </c>
      <c r="AQ98" s="20">
        <f t="shared" si="76"/>
        <v>0</v>
      </c>
      <c r="AR98" s="20">
        <f t="shared" si="77"/>
        <v>0</v>
      </c>
      <c r="AS98" s="20">
        <f t="shared" si="78"/>
        <v>0</v>
      </c>
      <c r="AT98" s="20">
        <f t="shared" si="79"/>
        <v>0</v>
      </c>
      <c r="AU98" s="20">
        <f t="shared" si="80"/>
        <v>0</v>
      </c>
      <c r="AV98" s="20">
        <f t="shared" si="81"/>
        <v>0</v>
      </c>
      <c r="AW98" s="20">
        <f t="shared" ref="AW98:AW107" si="82">SUM(AP98:AV98)</f>
        <v>0</v>
      </c>
    </row>
    <row r="99" spans="9:49">
      <c r="I99" s="4"/>
      <c r="M99" s="31"/>
      <c r="AL99" s="21">
        <v>0</v>
      </c>
      <c r="AM99" s="21">
        <v>0</v>
      </c>
      <c r="AO99" s="19">
        <v>9</v>
      </c>
      <c r="AP99" s="20">
        <f t="shared" si="75"/>
        <v>0</v>
      </c>
      <c r="AQ99" s="20">
        <f t="shared" si="76"/>
        <v>0</v>
      </c>
      <c r="AR99" s="20">
        <f t="shared" si="77"/>
        <v>0</v>
      </c>
      <c r="AS99" s="20">
        <f t="shared" si="78"/>
        <v>0</v>
      </c>
      <c r="AT99" s="20">
        <f t="shared" si="79"/>
        <v>0</v>
      </c>
      <c r="AU99" s="20">
        <f t="shared" si="80"/>
        <v>0</v>
      </c>
      <c r="AV99" s="20">
        <f t="shared" si="81"/>
        <v>0</v>
      </c>
      <c r="AW99" s="20">
        <f t="shared" si="82"/>
        <v>0</v>
      </c>
    </row>
    <row r="100" spans="9:49" hidden="1">
      <c r="I100" s="4"/>
      <c r="M100" s="31"/>
      <c r="AL100" s="21">
        <v>0</v>
      </c>
      <c r="AM100" s="21">
        <v>0</v>
      </c>
      <c r="AO100" s="19">
        <v>10</v>
      </c>
      <c r="AP100" s="20">
        <f t="shared" si="75"/>
        <v>0</v>
      </c>
      <c r="AQ100" s="20">
        <f t="shared" si="76"/>
        <v>0</v>
      </c>
      <c r="AR100" s="20">
        <f t="shared" si="77"/>
        <v>0</v>
      </c>
      <c r="AS100" s="20">
        <f t="shared" si="78"/>
        <v>0</v>
      </c>
      <c r="AT100" s="20">
        <f t="shared" si="79"/>
        <v>0</v>
      </c>
      <c r="AU100" s="20">
        <f t="shared" si="80"/>
        <v>0</v>
      </c>
      <c r="AV100" s="20">
        <f t="shared" si="81"/>
        <v>0</v>
      </c>
      <c r="AW100" s="20">
        <f t="shared" si="82"/>
        <v>0</v>
      </c>
    </row>
    <row r="101" spans="9:49" hidden="1">
      <c r="I101" s="4"/>
      <c r="M101" s="31"/>
      <c r="AL101" s="21">
        <v>0</v>
      </c>
      <c r="AM101" s="21">
        <v>0</v>
      </c>
      <c r="AO101" s="19">
        <v>11</v>
      </c>
      <c r="AP101" s="20">
        <f t="shared" si="75"/>
        <v>0</v>
      </c>
      <c r="AQ101" s="20">
        <f t="shared" si="76"/>
        <v>0</v>
      </c>
      <c r="AR101" s="20">
        <f t="shared" si="77"/>
        <v>0</v>
      </c>
      <c r="AS101" s="20">
        <f t="shared" si="78"/>
        <v>0</v>
      </c>
      <c r="AT101" s="20">
        <f t="shared" si="79"/>
        <v>0</v>
      </c>
      <c r="AU101" s="20">
        <f t="shared" si="80"/>
        <v>0</v>
      </c>
      <c r="AV101" s="20">
        <f t="shared" si="81"/>
        <v>0</v>
      </c>
      <c r="AW101" s="20">
        <f t="shared" si="82"/>
        <v>0</v>
      </c>
    </row>
    <row r="102" spans="9:49" hidden="1">
      <c r="I102" s="4"/>
      <c r="M102" s="31"/>
      <c r="AL102" s="21">
        <v>0</v>
      </c>
      <c r="AM102" s="21">
        <v>0</v>
      </c>
      <c r="AO102" s="19">
        <v>12</v>
      </c>
      <c r="AP102" s="20">
        <f t="shared" si="75"/>
        <v>0</v>
      </c>
      <c r="AQ102" s="20">
        <f t="shared" si="76"/>
        <v>0</v>
      </c>
      <c r="AR102" s="20">
        <f t="shared" si="77"/>
        <v>0</v>
      </c>
      <c r="AS102" s="20">
        <f t="shared" si="78"/>
        <v>0</v>
      </c>
      <c r="AT102" s="20">
        <f t="shared" si="79"/>
        <v>0</v>
      </c>
      <c r="AU102" s="20">
        <f t="shared" si="80"/>
        <v>0</v>
      </c>
      <c r="AV102" s="20">
        <f t="shared" si="81"/>
        <v>0</v>
      </c>
      <c r="AW102" s="20">
        <f t="shared" si="82"/>
        <v>0</v>
      </c>
    </row>
    <row r="103" spans="9:49" hidden="1">
      <c r="I103" s="4"/>
      <c r="M103" s="31"/>
      <c r="AL103" s="21">
        <v>0</v>
      </c>
      <c r="AM103" s="21">
        <v>0</v>
      </c>
      <c r="AO103" s="19">
        <v>13</v>
      </c>
      <c r="AP103" s="20">
        <f t="shared" si="75"/>
        <v>0</v>
      </c>
      <c r="AQ103" s="20">
        <f t="shared" si="76"/>
        <v>0</v>
      </c>
      <c r="AR103" s="20">
        <f t="shared" si="77"/>
        <v>0</v>
      </c>
      <c r="AS103" s="20">
        <f t="shared" si="78"/>
        <v>0</v>
      </c>
      <c r="AT103" s="20">
        <f t="shared" si="79"/>
        <v>0</v>
      </c>
      <c r="AU103" s="20">
        <f t="shared" si="80"/>
        <v>0</v>
      </c>
      <c r="AV103" s="20">
        <f t="shared" si="81"/>
        <v>0</v>
      </c>
      <c r="AW103" s="20">
        <f t="shared" si="82"/>
        <v>0</v>
      </c>
    </row>
    <row r="104" spans="9:49" hidden="1">
      <c r="I104" s="4"/>
      <c r="M104" s="31"/>
      <c r="AL104" s="21">
        <v>0</v>
      </c>
      <c r="AM104" s="21">
        <v>0</v>
      </c>
      <c r="AO104" s="19">
        <v>14</v>
      </c>
      <c r="AP104" s="20">
        <f t="shared" si="75"/>
        <v>0</v>
      </c>
      <c r="AQ104" s="20">
        <f t="shared" si="76"/>
        <v>0</v>
      </c>
      <c r="AR104" s="20">
        <f t="shared" si="77"/>
        <v>0</v>
      </c>
      <c r="AS104" s="20">
        <f t="shared" si="78"/>
        <v>0</v>
      </c>
      <c r="AT104" s="20">
        <f t="shared" si="79"/>
        <v>0</v>
      </c>
      <c r="AU104" s="20">
        <f t="shared" si="80"/>
        <v>0</v>
      </c>
      <c r="AV104" s="20">
        <f t="shared" si="81"/>
        <v>0</v>
      </c>
      <c r="AW104" s="20">
        <f t="shared" si="82"/>
        <v>0</v>
      </c>
    </row>
    <row r="105" spans="9:49" hidden="1">
      <c r="I105" s="4"/>
      <c r="M105" s="31"/>
      <c r="AL105" s="21">
        <v>0</v>
      </c>
      <c r="AM105" s="21">
        <v>0</v>
      </c>
      <c r="AO105" s="19">
        <v>15</v>
      </c>
      <c r="AP105" s="20">
        <f t="shared" si="75"/>
        <v>0</v>
      </c>
      <c r="AQ105" s="20">
        <f t="shared" si="76"/>
        <v>0</v>
      </c>
      <c r="AR105" s="20">
        <f t="shared" si="77"/>
        <v>0</v>
      </c>
      <c r="AS105" s="20">
        <f t="shared" si="78"/>
        <v>0</v>
      </c>
      <c r="AT105" s="20">
        <f t="shared" si="79"/>
        <v>0</v>
      </c>
      <c r="AU105" s="20">
        <f t="shared" si="80"/>
        <v>0</v>
      </c>
      <c r="AV105" s="20">
        <f t="shared" si="81"/>
        <v>0</v>
      </c>
      <c r="AW105" s="20">
        <f t="shared" si="82"/>
        <v>0</v>
      </c>
    </row>
    <row r="106" spans="9:49" hidden="1">
      <c r="I106" s="4"/>
      <c r="M106" s="31"/>
      <c r="AL106" s="21">
        <v>0</v>
      </c>
      <c r="AM106" s="21">
        <v>0</v>
      </c>
      <c r="AO106" s="19">
        <v>16</v>
      </c>
      <c r="AP106" s="20">
        <f t="shared" si="75"/>
        <v>0</v>
      </c>
      <c r="AQ106" s="20">
        <f t="shared" si="76"/>
        <v>0</v>
      </c>
      <c r="AR106" s="20">
        <f t="shared" si="77"/>
        <v>0</v>
      </c>
      <c r="AS106" s="20">
        <f t="shared" si="78"/>
        <v>0</v>
      </c>
      <c r="AT106" s="20">
        <f t="shared" si="79"/>
        <v>0</v>
      </c>
      <c r="AU106" s="20">
        <f t="shared" si="80"/>
        <v>0</v>
      </c>
      <c r="AV106" s="20">
        <f t="shared" si="81"/>
        <v>0</v>
      </c>
      <c r="AW106" s="20">
        <f t="shared" si="82"/>
        <v>0</v>
      </c>
    </row>
    <row r="107" spans="9:49" hidden="1">
      <c r="I107" s="4"/>
      <c r="M107" s="31"/>
      <c r="AL107" s="21">
        <v>0</v>
      </c>
      <c r="AM107" s="21">
        <v>0</v>
      </c>
      <c r="AO107" s="19">
        <v>17</v>
      </c>
      <c r="AP107" s="20">
        <f t="shared" si="75"/>
        <v>0</v>
      </c>
      <c r="AQ107" s="20">
        <f t="shared" si="76"/>
        <v>0</v>
      </c>
      <c r="AR107" s="20">
        <f t="shared" si="77"/>
        <v>0</v>
      </c>
      <c r="AS107" s="20">
        <f t="shared" si="78"/>
        <v>0</v>
      </c>
      <c r="AT107" s="20">
        <f t="shared" si="79"/>
        <v>0</v>
      </c>
      <c r="AU107" s="20">
        <f t="shared" si="80"/>
        <v>0</v>
      </c>
      <c r="AV107" s="20">
        <f t="shared" si="81"/>
        <v>0</v>
      </c>
      <c r="AW107" s="20">
        <f t="shared" si="82"/>
        <v>0</v>
      </c>
    </row>
    <row r="108" spans="9:49" hidden="1">
      <c r="M108" s="31"/>
      <c r="AL108" s="21">
        <v>0</v>
      </c>
      <c r="AM108" s="21">
        <v>0</v>
      </c>
      <c r="AO108" s="19">
        <v>18</v>
      </c>
      <c r="AP108" s="20">
        <f t="shared" si="75"/>
        <v>0</v>
      </c>
      <c r="AQ108" s="20">
        <f t="shared" si="76"/>
        <v>0</v>
      </c>
      <c r="AR108" s="20">
        <f t="shared" si="77"/>
        <v>0</v>
      </c>
      <c r="AS108" s="20">
        <f t="shared" si="78"/>
        <v>0</v>
      </c>
      <c r="AT108" s="20">
        <f t="shared" si="79"/>
        <v>0</v>
      </c>
      <c r="AU108" s="20">
        <f t="shared" si="80"/>
        <v>0</v>
      </c>
      <c r="AV108" s="20">
        <f t="shared" si="81"/>
        <v>0</v>
      </c>
      <c r="AW108" s="20">
        <f t="shared" ref="AW108:AW112" si="83">SUM(AP108:AV108)</f>
        <v>0</v>
      </c>
    </row>
    <row r="109" spans="9:49" hidden="1">
      <c r="M109" s="31"/>
      <c r="AL109" s="21">
        <v>0</v>
      </c>
      <c r="AM109" s="21">
        <v>0</v>
      </c>
      <c r="AO109" s="19">
        <v>19</v>
      </c>
      <c r="AP109" s="20">
        <f t="shared" si="75"/>
        <v>0</v>
      </c>
      <c r="AQ109" s="20">
        <f t="shared" si="76"/>
        <v>0</v>
      </c>
      <c r="AR109" s="20">
        <f t="shared" si="77"/>
        <v>0</v>
      </c>
      <c r="AS109" s="20">
        <f t="shared" si="78"/>
        <v>0</v>
      </c>
      <c r="AT109" s="20">
        <f t="shared" si="79"/>
        <v>0</v>
      </c>
      <c r="AU109" s="20">
        <f t="shared" si="80"/>
        <v>0</v>
      </c>
      <c r="AV109" s="20">
        <f t="shared" si="81"/>
        <v>0</v>
      </c>
      <c r="AW109" s="20">
        <f t="shared" si="83"/>
        <v>0</v>
      </c>
    </row>
    <row r="110" spans="9:49" hidden="1">
      <c r="M110" s="31"/>
      <c r="AL110" s="21">
        <v>0</v>
      </c>
      <c r="AM110" s="21">
        <v>0</v>
      </c>
      <c r="AO110" s="19">
        <v>20</v>
      </c>
      <c r="AP110" s="20">
        <f t="shared" si="75"/>
        <v>0</v>
      </c>
      <c r="AQ110" s="20">
        <f t="shared" si="76"/>
        <v>0</v>
      </c>
      <c r="AR110" s="20">
        <f t="shared" si="77"/>
        <v>0</v>
      </c>
      <c r="AS110" s="20">
        <f t="shared" si="78"/>
        <v>0</v>
      </c>
      <c r="AT110" s="20">
        <f t="shared" si="79"/>
        <v>0</v>
      </c>
      <c r="AU110" s="20">
        <f t="shared" si="80"/>
        <v>0</v>
      </c>
      <c r="AV110" s="20">
        <f t="shared" si="81"/>
        <v>0</v>
      </c>
      <c r="AW110" s="20">
        <f t="shared" si="83"/>
        <v>0</v>
      </c>
    </row>
    <row r="111" spans="9:49" hidden="1">
      <c r="M111" s="31"/>
      <c r="AL111" s="21">
        <v>0</v>
      </c>
      <c r="AM111" s="21">
        <v>0</v>
      </c>
      <c r="AO111" s="19">
        <v>21</v>
      </c>
      <c r="AP111" s="20">
        <f t="shared" si="75"/>
        <v>0</v>
      </c>
      <c r="AQ111" s="20">
        <f t="shared" si="76"/>
        <v>0</v>
      </c>
      <c r="AR111" s="20">
        <f t="shared" si="77"/>
        <v>0</v>
      </c>
      <c r="AS111" s="20">
        <f t="shared" si="78"/>
        <v>0</v>
      </c>
      <c r="AT111" s="20">
        <f t="shared" si="79"/>
        <v>0</v>
      </c>
      <c r="AU111" s="20">
        <f t="shared" si="80"/>
        <v>0</v>
      </c>
      <c r="AV111" s="20">
        <f t="shared" si="81"/>
        <v>0</v>
      </c>
      <c r="AW111" s="20">
        <f t="shared" si="83"/>
        <v>0</v>
      </c>
    </row>
    <row r="112" spans="9:49" hidden="1">
      <c r="M112" s="31"/>
      <c r="AL112" s="21">
        <v>0</v>
      </c>
      <c r="AM112" s="21">
        <v>0</v>
      </c>
      <c r="AO112" s="19">
        <v>22</v>
      </c>
      <c r="AP112" s="20">
        <f t="shared" si="75"/>
        <v>0</v>
      </c>
      <c r="AQ112" s="20">
        <f t="shared" si="76"/>
        <v>0</v>
      </c>
      <c r="AR112" s="20">
        <f t="shared" si="77"/>
        <v>0</v>
      </c>
      <c r="AS112" s="20">
        <f t="shared" si="78"/>
        <v>0</v>
      </c>
      <c r="AT112" s="20">
        <f t="shared" si="79"/>
        <v>0</v>
      </c>
      <c r="AU112" s="20">
        <f t="shared" si="80"/>
        <v>0</v>
      </c>
      <c r="AV112" s="20">
        <f t="shared" si="81"/>
        <v>0</v>
      </c>
      <c r="AW112" s="20">
        <f t="shared" si="83"/>
        <v>0</v>
      </c>
    </row>
    <row r="113" spans="13:49" hidden="1">
      <c r="M113" s="31"/>
      <c r="AL113" s="21">
        <v>0</v>
      </c>
      <c r="AM113" s="21">
        <v>0</v>
      </c>
      <c r="AO113" s="16" t="s">
        <v>7</v>
      </c>
      <c r="AP113" s="20">
        <f>SUM(AP97:AP107)</f>
        <v>0</v>
      </c>
      <c r="AQ113" s="20">
        <f t="shared" ref="AQ113" si="84">SUM(AQ97:AQ107)</f>
        <v>0</v>
      </c>
      <c r="AR113" s="20">
        <f t="shared" ref="AR113" si="85">SUM(AR97:AR107)</f>
        <v>0</v>
      </c>
      <c r="AS113" s="20">
        <f t="shared" ref="AS113" si="86">SUM(AS97:AS107)</f>
        <v>0</v>
      </c>
      <c r="AT113" s="20">
        <f t="shared" ref="AT113" si="87">SUM(AT97:AT107)</f>
        <v>0</v>
      </c>
      <c r="AU113" s="20">
        <f t="shared" ref="AU113" si="88">SUM(AU97:AU107)</f>
        <v>0</v>
      </c>
      <c r="AV113" s="20">
        <f t="shared" ref="AV113" si="89">SUM(AV97:AV107)</f>
        <v>0</v>
      </c>
      <c r="AW113" s="20">
        <f>SUM(AP113:AV113)</f>
        <v>0</v>
      </c>
    </row>
    <row r="114" spans="13:49" hidden="1">
      <c r="M114" s="31"/>
      <c r="AL114" s="21">
        <v>0</v>
      </c>
      <c r="AM114" s="21">
        <v>0</v>
      </c>
      <c r="AO114" s="21"/>
      <c r="AP114" s="21"/>
      <c r="AQ114" s="21"/>
      <c r="AR114" s="21"/>
      <c r="AS114" s="21"/>
      <c r="AT114" s="21"/>
      <c r="AU114" s="21"/>
      <c r="AV114" s="21"/>
      <c r="AW114" s="21"/>
    </row>
    <row r="115" spans="13:49" hidden="1">
      <c r="M115" s="31"/>
      <c r="AL115" s="21">
        <v>0</v>
      </c>
      <c r="AM115" s="21">
        <v>0</v>
      </c>
      <c r="AO115" s="15" t="str">
        <f>IF(ISBLANK(A8),"",A8)</f>
        <v/>
      </c>
      <c r="AP115" s="18" t="s">
        <v>1</v>
      </c>
      <c r="AQ115" s="18" t="s">
        <v>2</v>
      </c>
      <c r="AR115" s="18" t="s">
        <v>3</v>
      </c>
      <c r="AS115" s="18" t="s">
        <v>2</v>
      </c>
      <c r="AT115" s="18" t="s">
        <v>4</v>
      </c>
      <c r="AU115" s="18" t="s">
        <v>0</v>
      </c>
      <c r="AV115" s="18" t="s">
        <v>0</v>
      </c>
      <c r="AW115" s="16" t="s">
        <v>8</v>
      </c>
    </row>
    <row r="116" spans="13:49" hidden="1">
      <c r="M116" s="31"/>
      <c r="AL116" s="21">
        <v>0</v>
      </c>
      <c r="AM116" s="21">
        <v>0</v>
      </c>
      <c r="AO116" s="19">
        <v>7</v>
      </c>
      <c r="AP116" s="20">
        <f t="shared" ref="AP116:AP131" si="90">IF(AND($AO116&gt;=$T$8,$AO116&lt;$U$8),1,0)</f>
        <v>0</v>
      </c>
      <c r="AQ116" s="20">
        <f t="shared" ref="AQ116:AQ131" si="91">IF(AND($AO116&gt;=$V$8,$AO116&lt;$W$8),1,0)</f>
        <v>0</v>
      </c>
      <c r="AR116" s="20">
        <f t="shared" ref="AR116:AR131" si="92">IF(AND($AO116&gt;=$X$8,$AO116&lt;$Y$8),1,0)</f>
        <v>0</v>
      </c>
      <c r="AS116" s="20">
        <f t="shared" ref="AS116:AS131" si="93">IF(AND($AO116&gt;=$Z$8,$AO116&lt;$AA$8),1,0)</f>
        <v>0</v>
      </c>
      <c r="AT116" s="20">
        <f t="shared" ref="AT116:AT131" si="94">IF(AND($AO116&gt;=$AB$8,$AO116&lt;$AC$8),1,0)</f>
        <v>0</v>
      </c>
      <c r="AU116" s="20">
        <f t="shared" ref="AU116:AU131" si="95">IF(AND($AO116&gt;=$AD$8,$AO116&lt;$AE$8),1,0)</f>
        <v>0</v>
      </c>
      <c r="AV116" s="20">
        <f t="shared" ref="AV116:AV131" si="96">IF(AND($AO116&gt;=$AF$8,$AO116&lt;$AG$8),1,0)</f>
        <v>0</v>
      </c>
      <c r="AW116" s="20">
        <f>SUM(AP116:AV116)</f>
        <v>0</v>
      </c>
    </row>
    <row r="117" spans="13:49" hidden="1">
      <c r="M117" s="31"/>
      <c r="AL117" s="21">
        <v>0</v>
      </c>
      <c r="AM117" s="21">
        <v>0</v>
      </c>
      <c r="AO117" s="19">
        <v>8</v>
      </c>
      <c r="AP117" s="20">
        <f t="shared" si="90"/>
        <v>0</v>
      </c>
      <c r="AQ117" s="20">
        <f t="shared" si="91"/>
        <v>0</v>
      </c>
      <c r="AR117" s="20">
        <f t="shared" si="92"/>
        <v>0</v>
      </c>
      <c r="AS117" s="20">
        <f t="shared" si="93"/>
        <v>0</v>
      </c>
      <c r="AT117" s="20">
        <f t="shared" si="94"/>
        <v>0</v>
      </c>
      <c r="AU117" s="20">
        <f t="shared" si="95"/>
        <v>0</v>
      </c>
      <c r="AV117" s="20">
        <f t="shared" si="96"/>
        <v>0</v>
      </c>
      <c r="AW117" s="20">
        <f t="shared" ref="AW117:AW126" si="97">SUM(AP117:AV117)</f>
        <v>0</v>
      </c>
    </row>
    <row r="118" spans="13:49" hidden="1">
      <c r="M118" s="31"/>
      <c r="AL118" s="21">
        <v>0</v>
      </c>
      <c r="AM118" s="21">
        <v>0</v>
      </c>
      <c r="AO118" s="19">
        <v>9</v>
      </c>
      <c r="AP118" s="20">
        <f t="shared" si="90"/>
        <v>0</v>
      </c>
      <c r="AQ118" s="20">
        <f t="shared" si="91"/>
        <v>0</v>
      </c>
      <c r="AR118" s="20">
        <f t="shared" si="92"/>
        <v>0</v>
      </c>
      <c r="AS118" s="20">
        <f t="shared" si="93"/>
        <v>0</v>
      </c>
      <c r="AT118" s="20">
        <f t="shared" si="94"/>
        <v>0</v>
      </c>
      <c r="AU118" s="20">
        <f t="shared" si="95"/>
        <v>0</v>
      </c>
      <c r="AV118" s="20">
        <f t="shared" si="96"/>
        <v>0</v>
      </c>
      <c r="AW118" s="20">
        <f t="shared" si="97"/>
        <v>0</v>
      </c>
    </row>
    <row r="119" spans="13:49" hidden="1">
      <c r="M119" s="31"/>
      <c r="AL119" s="21">
        <v>0</v>
      </c>
      <c r="AM119" s="21">
        <v>0</v>
      </c>
      <c r="AO119" s="19">
        <v>10</v>
      </c>
      <c r="AP119" s="20">
        <f t="shared" si="90"/>
        <v>0</v>
      </c>
      <c r="AQ119" s="20">
        <f t="shared" si="91"/>
        <v>0</v>
      </c>
      <c r="AR119" s="20">
        <f t="shared" si="92"/>
        <v>0</v>
      </c>
      <c r="AS119" s="20">
        <f t="shared" si="93"/>
        <v>0</v>
      </c>
      <c r="AT119" s="20">
        <f t="shared" si="94"/>
        <v>0</v>
      </c>
      <c r="AU119" s="20">
        <f t="shared" si="95"/>
        <v>0</v>
      </c>
      <c r="AV119" s="20">
        <f t="shared" si="96"/>
        <v>0</v>
      </c>
      <c r="AW119" s="20">
        <f t="shared" si="97"/>
        <v>0</v>
      </c>
    </row>
    <row r="120" spans="13:49" hidden="1">
      <c r="M120" s="31"/>
      <c r="AL120" s="21">
        <v>0</v>
      </c>
      <c r="AM120" s="21">
        <v>0</v>
      </c>
      <c r="AO120" s="19">
        <v>11</v>
      </c>
      <c r="AP120" s="20">
        <f t="shared" si="90"/>
        <v>0</v>
      </c>
      <c r="AQ120" s="20">
        <f t="shared" si="91"/>
        <v>0</v>
      </c>
      <c r="AR120" s="20">
        <f t="shared" si="92"/>
        <v>0</v>
      </c>
      <c r="AS120" s="20">
        <f t="shared" si="93"/>
        <v>0</v>
      </c>
      <c r="AT120" s="20">
        <f t="shared" si="94"/>
        <v>0</v>
      </c>
      <c r="AU120" s="20">
        <f t="shared" si="95"/>
        <v>0</v>
      </c>
      <c r="AV120" s="20">
        <f t="shared" si="96"/>
        <v>0</v>
      </c>
      <c r="AW120" s="20">
        <f t="shared" si="97"/>
        <v>0</v>
      </c>
    </row>
    <row r="121" spans="13:49" hidden="1">
      <c r="M121" s="31"/>
      <c r="AL121" s="21">
        <v>0</v>
      </c>
      <c r="AM121" s="21">
        <v>0</v>
      </c>
      <c r="AO121" s="19">
        <v>12</v>
      </c>
      <c r="AP121" s="20">
        <f t="shared" si="90"/>
        <v>0</v>
      </c>
      <c r="AQ121" s="20">
        <f t="shared" si="91"/>
        <v>0</v>
      </c>
      <c r="AR121" s="20">
        <f t="shared" si="92"/>
        <v>0</v>
      </c>
      <c r="AS121" s="20">
        <f t="shared" si="93"/>
        <v>0</v>
      </c>
      <c r="AT121" s="20">
        <f t="shared" si="94"/>
        <v>0</v>
      </c>
      <c r="AU121" s="20">
        <f t="shared" si="95"/>
        <v>0</v>
      </c>
      <c r="AV121" s="20">
        <f t="shared" si="96"/>
        <v>0</v>
      </c>
      <c r="AW121" s="20">
        <f t="shared" si="97"/>
        <v>0</v>
      </c>
    </row>
    <row r="122" spans="13:49" hidden="1">
      <c r="M122" s="31"/>
      <c r="AL122" s="21">
        <v>0</v>
      </c>
      <c r="AM122" s="21">
        <v>0</v>
      </c>
      <c r="AO122" s="19">
        <v>13</v>
      </c>
      <c r="AP122" s="20">
        <f t="shared" si="90"/>
        <v>0</v>
      </c>
      <c r="AQ122" s="20">
        <f t="shared" si="91"/>
        <v>0</v>
      </c>
      <c r="AR122" s="20">
        <f t="shared" si="92"/>
        <v>0</v>
      </c>
      <c r="AS122" s="20">
        <f t="shared" si="93"/>
        <v>0</v>
      </c>
      <c r="AT122" s="20">
        <f t="shared" si="94"/>
        <v>0</v>
      </c>
      <c r="AU122" s="20">
        <f t="shared" si="95"/>
        <v>0</v>
      </c>
      <c r="AV122" s="20">
        <f t="shared" si="96"/>
        <v>0</v>
      </c>
      <c r="AW122" s="20">
        <f t="shared" si="97"/>
        <v>0</v>
      </c>
    </row>
    <row r="123" spans="13:49" hidden="1">
      <c r="M123" s="31"/>
      <c r="AL123" s="21">
        <v>0</v>
      </c>
      <c r="AM123" s="21">
        <v>0</v>
      </c>
      <c r="AO123" s="19">
        <v>14</v>
      </c>
      <c r="AP123" s="20">
        <f t="shared" si="90"/>
        <v>0</v>
      </c>
      <c r="AQ123" s="20">
        <f t="shared" si="91"/>
        <v>0</v>
      </c>
      <c r="AR123" s="20">
        <f t="shared" si="92"/>
        <v>0</v>
      </c>
      <c r="AS123" s="20">
        <f t="shared" si="93"/>
        <v>0</v>
      </c>
      <c r="AT123" s="20">
        <f t="shared" si="94"/>
        <v>0</v>
      </c>
      <c r="AU123" s="20">
        <f t="shared" si="95"/>
        <v>0</v>
      </c>
      <c r="AV123" s="20">
        <f t="shared" si="96"/>
        <v>0</v>
      </c>
      <c r="AW123" s="20">
        <f t="shared" si="97"/>
        <v>0</v>
      </c>
    </row>
    <row r="124" spans="13:49" hidden="1">
      <c r="M124" s="31"/>
      <c r="AL124" s="21">
        <v>0</v>
      </c>
      <c r="AM124" s="21">
        <v>0</v>
      </c>
      <c r="AO124" s="19">
        <v>15</v>
      </c>
      <c r="AP124" s="20">
        <f t="shared" si="90"/>
        <v>0</v>
      </c>
      <c r="AQ124" s="20">
        <f t="shared" si="91"/>
        <v>0</v>
      </c>
      <c r="AR124" s="20">
        <f t="shared" si="92"/>
        <v>0</v>
      </c>
      <c r="AS124" s="20">
        <f t="shared" si="93"/>
        <v>0</v>
      </c>
      <c r="AT124" s="20">
        <f t="shared" si="94"/>
        <v>0</v>
      </c>
      <c r="AU124" s="20">
        <f t="shared" si="95"/>
        <v>0</v>
      </c>
      <c r="AV124" s="20">
        <f t="shared" si="96"/>
        <v>0</v>
      </c>
      <c r="AW124" s="20">
        <f t="shared" si="97"/>
        <v>0</v>
      </c>
    </row>
    <row r="125" spans="13:49" hidden="1">
      <c r="M125" s="31"/>
      <c r="AL125" s="21">
        <v>0</v>
      </c>
      <c r="AM125" s="21">
        <v>0</v>
      </c>
      <c r="AO125" s="19">
        <v>16</v>
      </c>
      <c r="AP125" s="20">
        <f t="shared" si="90"/>
        <v>0</v>
      </c>
      <c r="AQ125" s="20">
        <f t="shared" si="91"/>
        <v>0</v>
      </c>
      <c r="AR125" s="20">
        <f t="shared" si="92"/>
        <v>0</v>
      </c>
      <c r="AS125" s="20">
        <f t="shared" si="93"/>
        <v>0</v>
      </c>
      <c r="AT125" s="20">
        <f t="shared" si="94"/>
        <v>0</v>
      </c>
      <c r="AU125" s="20">
        <f t="shared" si="95"/>
        <v>0</v>
      </c>
      <c r="AV125" s="20">
        <f t="shared" si="96"/>
        <v>0</v>
      </c>
      <c r="AW125" s="20">
        <f t="shared" si="97"/>
        <v>0</v>
      </c>
    </row>
    <row r="126" spans="13:49" hidden="1">
      <c r="M126" s="31"/>
      <c r="AL126" s="21">
        <v>0</v>
      </c>
      <c r="AM126" s="21">
        <v>0</v>
      </c>
      <c r="AO126" s="19">
        <v>17</v>
      </c>
      <c r="AP126" s="20">
        <f t="shared" si="90"/>
        <v>0</v>
      </c>
      <c r="AQ126" s="20">
        <f t="shared" si="91"/>
        <v>0</v>
      </c>
      <c r="AR126" s="20">
        <f t="shared" si="92"/>
        <v>0</v>
      </c>
      <c r="AS126" s="20">
        <f t="shared" si="93"/>
        <v>0</v>
      </c>
      <c r="AT126" s="20">
        <f t="shared" si="94"/>
        <v>0</v>
      </c>
      <c r="AU126" s="20">
        <f t="shared" si="95"/>
        <v>0</v>
      </c>
      <c r="AV126" s="20">
        <f t="shared" si="96"/>
        <v>0</v>
      </c>
      <c r="AW126" s="20">
        <f t="shared" si="97"/>
        <v>0</v>
      </c>
    </row>
    <row r="127" spans="13:49" hidden="1">
      <c r="M127" s="31"/>
      <c r="AL127" s="21">
        <v>0</v>
      </c>
      <c r="AM127" s="21">
        <v>0</v>
      </c>
      <c r="AO127" s="19">
        <v>18</v>
      </c>
      <c r="AP127" s="20">
        <f t="shared" si="90"/>
        <v>0</v>
      </c>
      <c r="AQ127" s="20">
        <f t="shared" si="91"/>
        <v>0</v>
      </c>
      <c r="AR127" s="20">
        <f t="shared" si="92"/>
        <v>0</v>
      </c>
      <c r="AS127" s="20">
        <f t="shared" si="93"/>
        <v>0</v>
      </c>
      <c r="AT127" s="20">
        <f t="shared" si="94"/>
        <v>0</v>
      </c>
      <c r="AU127" s="20">
        <f t="shared" si="95"/>
        <v>0</v>
      </c>
      <c r="AV127" s="20">
        <f t="shared" si="96"/>
        <v>0</v>
      </c>
      <c r="AW127" s="20">
        <f t="shared" ref="AW127:AW131" si="98">SUM(AP127:AV127)</f>
        <v>0</v>
      </c>
    </row>
    <row r="128" spans="13:49" hidden="1">
      <c r="M128" s="31"/>
      <c r="AL128" s="21">
        <v>0</v>
      </c>
      <c r="AM128" s="21">
        <v>0</v>
      </c>
      <c r="AO128" s="19">
        <v>19</v>
      </c>
      <c r="AP128" s="20">
        <f t="shared" si="90"/>
        <v>0</v>
      </c>
      <c r="AQ128" s="20">
        <f t="shared" si="91"/>
        <v>0</v>
      </c>
      <c r="AR128" s="20">
        <f t="shared" si="92"/>
        <v>0</v>
      </c>
      <c r="AS128" s="20">
        <f t="shared" si="93"/>
        <v>0</v>
      </c>
      <c r="AT128" s="20">
        <f t="shared" si="94"/>
        <v>0</v>
      </c>
      <c r="AU128" s="20">
        <f t="shared" si="95"/>
        <v>0</v>
      </c>
      <c r="AV128" s="20">
        <f t="shared" si="96"/>
        <v>0</v>
      </c>
      <c r="AW128" s="20">
        <f t="shared" si="98"/>
        <v>0</v>
      </c>
    </row>
    <row r="129" spans="13:49" hidden="1">
      <c r="M129" s="31"/>
      <c r="AL129" s="21">
        <v>0</v>
      </c>
      <c r="AM129" s="21">
        <v>0</v>
      </c>
      <c r="AO129" s="19">
        <v>20</v>
      </c>
      <c r="AP129" s="20">
        <f t="shared" si="90"/>
        <v>0</v>
      </c>
      <c r="AQ129" s="20">
        <f t="shared" si="91"/>
        <v>0</v>
      </c>
      <c r="AR129" s="20">
        <f t="shared" si="92"/>
        <v>0</v>
      </c>
      <c r="AS129" s="20">
        <f t="shared" si="93"/>
        <v>0</v>
      </c>
      <c r="AT129" s="20">
        <f t="shared" si="94"/>
        <v>0</v>
      </c>
      <c r="AU129" s="20">
        <f t="shared" si="95"/>
        <v>0</v>
      </c>
      <c r="AV129" s="20">
        <f t="shared" si="96"/>
        <v>0</v>
      </c>
      <c r="AW129" s="20">
        <f t="shared" si="98"/>
        <v>0</v>
      </c>
    </row>
    <row r="130" spans="13:49" hidden="1">
      <c r="M130" s="31"/>
      <c r="AL130" s="21">
        <v>0</v>
      </c>
      <c r="AM130" s="21">
        <v>0</v>
      </c>
      <c r="AO130" s="19">
        <v>21</v>
      </c>
      <c r="AP130" s="20">
        <f t="shared" si="90"/>
        <v>0</v>
      </c>
      <c r="AQ130" s="20">
        <f t="shared" si="91"/>
        <v>0</v>
      </c>
      <c r="AR130" s="20">
        <f t="shared" si="92"/>
        <v>0</v>
      </c>
      <c r="AS130" s="20">
        <f t="shared" si="93"/>
        <v>0</v>
      </c>
      <c r="AT130" s="20">
        <f t="shared" si="94"/>
        <v>0</v>
      </c>
      <c r="AU130" s="20">
        <f t="shared" si="95"/>
        <v>0</v>
      </c>
      <c r="AV130" s="20">
        <f t="shared" si="96"/>
        <v>0</v>
      </c>
      <c r="AW130" s="20">
        <f t="shared" si="98"/>
        <v>0</v>
      </c>
    </row>
    <row r="131" spans="13:49" hidden="1">
      <c r="M131" s="31"/>
      <c r="AL131" s="21">
        <v>0</v>
      </c>
      <c r="AM131" s="21">
        <v>0</v>
      </c>
      <c r="AO131" s="19">
        <v>22</v>
      </c>
      <c r="AP131" s="20">
        <f t="shared" si="90"/>
        <v>0</v>
      </c>
      <c r="AQ131" s="20">
        <f t="shared" si="91"/>
        <v>0</v>
      </c>
      <c r="AR131" s="20">
        <f t="shared" si="92"/>
        <v>0</v>
      </c>
      <c r="AS131" s="20">
        <f t="shared" si="93"/>
        <v>0</v>
      </c>
      <c r="AT131" s="20">
        <f t="shared" si="94"/>
        <v>0</v>
      </c>
      <c r="AU131" s="20">
        <f t="shared" si="95"/>
        <v>0</v>
      </c>
      <c r="AV131" s="20">
        <f t="shared" si="96"/>
        <v>0</v>
      </c>
      <c r="AW131" s="20">
        <f t="shared" si="98"/>
        <v>0</v>
      </c>
    </row>
    <row r="132" spans="13:49" hidden="1">
      <c r="M132" s="31"/>
      <c r="AL132" s="21">
        <v>0</v>
      </c>
      <c r="AM132" s="21">
        <v>0</v>
      </c>
      <c r="AO132" s="16" t="s">
        <v>7</v>
      </c>
      <c r="AP132" s="20">
        <f>SUM(AP116:AP131)</f>
        <v>0</v>
      </c>
      <c r="AQ132" s="20">
        <f t="shared" ref="AQ132:AV132" si="99">SUM(AQ116:AQ131)</f>
        <v>0</v>
      </c>
      <c r="AR132" s="20">
        <f t="shared" si="99"/>
        <v>0</v>
      </c>
      <c r="AS132" s="20">
        <f t="shared" si="99"/>
        <v>0</v>
      </c>
      <c r="AT132" s="20">
        <f t="shared" si="99"/>
        <v>0</v>
      </c>
      <c r="AU132" s="20">
        <f t="shared" si="99"/>
        <v>0</v>
      </c>
      <c r="AV132" s="20">
        <f t="shared" si="99"/>
        <v>0</v>
      </c>
      <c r="AW132" s="20">
        <f>SUM(AP132:AV132)</f>
        <v>0</v>
      </c>
    </row>
    <row r="133" spans="13:49" hidden="1">
      <c r="M133" s="31"/>
      <c r="AL133" s="21">
        <v>0</v>
      </c>
      <c r="AM133" s="21">
        <v>0</v>
      </c>
      <c r="AO133" s="21"/>
      <c r="AP133" s="21"/>
      <c r="AQ133" s="21"/>
      <c r="AR133" s="21"/>
      <c r="AS133" s="21"/>
      <c r="AT133" s="21"/>
      <c r="AU133" s="21"/>
      <c r="AV133" s="21"/>
      <c r="AW133" s="21"/>
    </row>
    <row r="134" spans="13:49" hidden="1">
      <c r="M134" s="31"/>
      <c r="AL134" s="21">
        <v>0</v>
      </c>
      <c r="AM134" s="21">
        <v>0</v>
      </c>
      <c r="AO134" s="15" t="str">
        <f>IF(ISBLANK(A9),"",A9)</f>
        <v/>
      </c>
      <c r="AP134" s="18" t="s">
        <v>1</v>
      </c>
      <c r="AQ134" s="18" t="s">
        <v>2</v>
      </c>
      <c r="AR134" s="18" t="s">
        <v>3</v>
      </c>
      <c r="AS134" s="18" t="s">
        <v>2</v>
      </c>
      <c r="AT134" s="18" t="s">
        <v>4</v>
      </c>
      <c r="AU134" s="18" t="s">
        <v>0</v>
      </c>
      <c r="AV134" s="18" t="s">
        <v>0</v>
      </c>
      <c r="AW134" s="16" t="s">
        <v>8</v>
      </c>
    </row>
    <row r="135" spans="13:49" hidden="1">
      <c r="M135" s="31"/>
      <c r="AL135" s="21">
        <v>0</v>
      </c>
      <c r="AM135" s="21">
        <v>0</v>
      </c>
      <c r="AO135" s="19">
        <v>7</v>
      </c>
      <c r="AP135" s="20">
        <f t="shared" ref="AP135:AP150" si="100">IF(AND($AO135&gt;=$T$9,$AO135&lt;$U$9),1,0)</f>
        <v>0</v>
      </c>
      <c r="AQ135" s="20">
        <f t="shared" ref="AQ135:AQ150" si="101">IF(AND($AO135&gt;=$V$9,$AO135&lt;$W$9),1,0)</f>
        <v>0</v>
      </c>
      <c r="AR135" s="20">
        <f t="shared" ref="AR135:AR150" si="102">IF(AND($AO135&gt;=$X$9,$AO135&lt;$Y$9),1,0)</f>
        <v>0</v>
      </c>
      <c r="AS135" s="20">
        <f t="shared" ref="AS135:AS150" si="103">IF(AND($AO135&gt;=$Z$9,$AO135&lt;$AA$9),1,0)</f>
        <v>0</v>
      </c>
      <c r="AT135" s="20">
        <f t="shared" ref="AT135:AT150" si="104">IF(AND($AO135&gt;=$AB$9,$AO135&lt;$AC$9),1,0)</f>
        <v>0</v>
      </c>
      <c r="AU135" s="20">
        <f t="shared" ref="AU135:AU150" si="105">IF(AND($AO135&gt;=$AD$9,$AO135&lt;$AE$9),1,0)</f>
        <v>0</v>
      </c>
      <c r="AV135" s="20">
        <f t="shared" ref="AV135:AV150" si="106">IF(AND($AO135&gt;=$AF$9,$AO135&lt;$AG$9),1,0)</f>
        <v>0</v>
      </c>
      <c r="AW135" s="20">
        <f>SUM(AP135:AV135)</f>
        <v>0</v>
      </c>
    </row>
    <row r="136" spans="13:49" hidden="1">
      <c r="M136" s="31"/>
      <c r="AL136" s="21">
        <v>0</v>
      </c>
      <c r="AM136" s="21">
        <v>0</v>
      </c>
      <c r="AO136" s="19">
        <v>8</v>
      </c>
      <c r="AP136" s="20">
        <f t="shared" si="100"/>
        <v>0</v>
      </c>
      <c r="AQ136" s="20">
        <f t="shared" si="101"/>
        <v>0</v>
      </c>
      <c r="AR136" s="20">
        <f t="shared" si="102"/>
        <v>0</v>
      </c>
      <c r="AS136" s="20">
        <f t="shared" si="103"/>
        <v>0</v>
      </c>
      <c r="AT136" s="20">
        <f t="shared" si="104"/>
        <v>0</v>
      </c>
      <c r="AU136" s="20">
        <f t="shared" si="105"/>
        <v>0</v>
      </c>
      <c r="AV136" s="20">
        <f t="shared" si="106"/>
        <v>0</v>
      </c>
      <c r="AW136" s="20">
        <f t="shared" ref="AW136:AW145" si="107">SUM(AP136:AV136)</f>
        <v>0</v>
      </c>
    </row>
    <row r="137" spans="13:49" hidden="1">
      <c r="M137" s="31"/>
      <c r="AL137" s="21">
        <v>0</v>
      </c>
      <c r="AM137" s="21">
        <v>0</v>
      </c>
      <c r="AO137" s="19">
        <v>9</v>
      </c>
      <c r="AP137" s="20">
        <f t="shared" si="100"/>
        <v>0</v>
      </c>
      <c r="AQ137" s="20">
        <f t="shared" si="101"/>
        <v>0</v>
      </c>
      <c r="AR137" s="20">
        <f t="shared" si="102"/>
        <v>0</v>
      </c>
      <c r="AS137" s="20">
        <f t="shared" si="103"/>
        <v>0</v>
      </c>
      <c r="AT137" s="20">
        <f t="shared" si="104"/>
        <v>0</v>
      </c>
      <c r="AU137" s="20">
        <f t="shared" si="105"/>
        <v>0</v>
      </c>
      <c r="AV137" s="20">
        <f t="shared" si="106"/>
        <v>0</v>
      </c>
      <c r="AW137" s="20">
        <f t="shared" si="107"/>
        <v>0</v>
      </c>
    </row>
    <row r="138" spans="13:49" hidden="1">
      <c r="M138" s="31"/>
      <c r="AL138" s="21">
        <v>0</v>
      </c>
      <c r="AM138" s="21">
        <v>0</v>
      </c>
      <c r="AO138" s="19">
        <v>10</v>
      </c>
      <c r="AP138" s="20">
        <f t="shared" si="100"/>
        <v>0</v>
      </c>
      <c r="AQ138" s="20">
        <f t="shared" si="101"/>
        <v>0</v>
      </c>
      <c r="AR138" s="20">
        <f t="shared" si="102"/>
        <v>0</v>
      </c>
      <c r="AS138" s="20">
        <f t="shared" si="103"/>
        <v>0</v>
      </c>
      <c r="AT138" s="20">
        <f t="shared" si="104"/>
        <v>0</v>
      </c>
      <c r="AU138" s="20">
        <f t="shared" si="105"/>
        <v>0</v>
      </c>
      <c r="AV138" s="20">
        <f t="shared" si="106"/>
        <v>0</v>
      </c>
      <c r="AW138" s="20">
        <f t="shared" si="107"/>
        <v>0</v>
      </c>
    </row>
    <row r="139" spans="13:49" hidden="1">
      <c r="M139" s="31"/>
      <c r="AL139" s="21">
        <v>0</v>
      </c>
      <c r="AM139" s="21">
        <v>0</v>
      </c>
      <c r="AO139" s="19">
        <v>11</v>
      </c>
      <c r="AP139" s="20">
        <f t="shared" si="100"/>
        <v>0</v>
      </c>
      <c r="AQ139" s="20">
        <f t="shared" si="101"/>
        <v>0</v>
      </c>
      <c r="AR139" s="20">
        <f t="shared" si="102"/>
        <v>0</v>
      </c>
      <c r="AS139" s="20">
        <f t="shared" si="103"/>
        <v>0</v>
      </c>
      <c r="AT139" s="20">
        <f t="shared" si="104"/>
        <v>0</v>
      </c>
      <c r="AU139" s="20">
        <f t="shared" si="105"/>
        <v>0</v>
      </c>
      <c r="AV139" s="20">
        <f t="shared" si="106"/>
        <v>0</v>
      </c>
      <c r="AW139" s="20">
        <f t="shared" si="107"/>
        <v>0</v>
      </c>
    </row>
    <row r="140" spans="13:49" hidden="1">
      <c r="M140" s="31"/>
      <c r="AL140" s="21">
        <v>0</v>
      </c>
      <c r="AM140" s="21">
        <v>0</v>
      </c>
      <c r="AO140" s="19">
        <v>12</v>
      </c>
      <c r="AP140" s="20">
        <f t="shared" si="100"/>
        <v>0</v>
      </c>
      <c r="AQ140" s="20">
        <f t="shared" si="101"/>
        <v>0</v>
      </c>
      <c r="AR140" s="20">
        <f t="shared" si="102"/>
        <v>0</v>
      </c>
      <c r="AS140" s="20">
        <f t="shared" si="103"/>
        <v>0</v>
      </c>
      <c r="AT140" s="20">
        <f t="shared" si="104"/>
        <v>0</v>
      </c>
      <c r="AU140" s="20">
        <f t="shared" si="105"/>
        <v>0</v>
      </c>
      <c r="AV140" s="20">
        <f t="shared" si="106"/>
        <v>0</v>
      </c>
      <c r="AW140" s="20">
        <f t="shared" si="107"/>
        <v>0</v>
      </c>
    </row>
    <row r="141" spans="13:49" hidden="1">
      <c r="M141" s="31"/>
      <c r="AL141" s="21">
        <v>0</v>
      </c>
      <c r="AM141" s="21">
        <v>0</v>
      </c>
      <c r="AO141" s="19">
        <v>13</v>
      </c>
      <c r="AP141" s="20">
        <f t="shared" si="100"/>
        <v>0</v>
      </c>
      <c r="AQ141" s="20">
        <f t="shared" si="101"/>
        <v>0</v>
      </c>
      <c r="AR141" s="20">
        <f t="shared" si="102"/>
        <v>0</v>
      </c>
      <c r="AS141" s="20">
        <f t="shared" si="103"/>
        <v>0</v>
      </c>
      <c r="AT141" s="20">
        <f t="shared" si="104"/>
        <v>0</v>
      </c>
      <c r="AU141" s="20">
        <f t="shared" si="105"/>
        <v>0</v>
      </c>
      <c r="AV141" s="20">
        <f t="shared" si="106"/>
        <v>0</v>
      </c>
      <c r="AW141" s="20">
        <f t="shared" si="107"/>
        <v>0</v>
      </c>
    </row>
    <row r="142" spans="13:49" hidden="1">
      <c r="M142" s="31"/>
      <c r="AL142" s="21">
        <v>0</v>
      </c>
      <c r="AM142" s="21">
        <v>0</v>
      </c>
      <c r="AO142" s="19">
        <v>14</v>
      </c>
      <c r="AP142" s="20">
        <f t="shared" si="100"/>
        <v>0</v>
      </c>
      <c r="AQ142" s="20">
        <f t="shared" si="101"/>
        <v>0</v>
      </c>
      <c r="AR142" s="20">
        <f t="shared" si="102"/>
        <v>0</v>
      </c>
      <c r="AS142" s="20">
        <f t="shared" si="103"/>
        <v>0</v>
      </c>
      <c r="AT142" s="20">
        <f t="shared" si="104"/>
        <v>0</v>
      </c>
      <c r="AU142" s="20">
        <f t="shared" si="105"/>
        <v>0</v>
      </c>
      <c r="AV142" s="20">
        <f t="shared" si="106"/>
        <v>0</v>
      </c>
      <c r="AW142" s="20">
        <f t="shared" si="107"/>
        <v>0</v>
      </c>
    </row>
    <row r="143" spans="13:49" hidden="1">
      <c r="M143" s="31"/>
      <c r="AL143" s="21">
        <v>0</v>
      </c>
      <c r="AM143" s="21">
        <v>0</v>
      </c>
      <c r="AO143" s="19">
        <v>15</v>
      </c>
      <c r="AP143" s="20">
        <f t="shared" si="100"/>
        <v>0</v>
      </c>
      <c r="AQ143" s="20">
        <f t="shared" si="101"/>
        <v>0</v>
      </c>
      <c r="AR143" s="20">
        <f t="shared" si="102"/>
        <v>0</v>
      </c>
      <c r="AS143" s="20">
        <f t="shared" si="103"/>
        <v>0</v>
      </c>
      <c r="AT143" s="20">
        <f t="shared" si="104"/>
        <v>0</v>
      </c>
      <c r="AU143" s="20">
        <f t="shared" si="105"/>
        <v>0</v>
      </c>
      <c r="AV143" s="20">
        <f t="shared" si="106"/>
        <v>0</v>
      </c>
      <c r="AW143" s="20">
        <f t="shared" si="107"/>
        <v>0</v>
      </c>
    </row>
    <row r="144" spans="13:49" hidden="1">
      <c r="M144" s="31"/>
      <c r="AL144" s="21">
        <v>0</v>
      </c>
      <c r="AM144" s="21">
        <v>0</v>
      </c>
      <c r="AO144" s="19">
        <v>16</v>
      </c>
      <c r="AP144" s="20">
        <f t="shared" si="100"/>
        <v>0</v>
      </c>
      <c r="AQ144" s="20">
        <f t="shared" si="101"/>
        <v>0</v>
      </c>
      <c r="AR144" s="20">
        <f t="shared" si="102"/>
        <v>0</v>
      </c>
      <c r="AS144" s="20">
        <f t="shared" si="103"/>
        <v>0</v>
      </c>
      <c r="AT144" s="20">
        <f t="shared" si="104"/>
        <v>0</v>
      </c>
      <c r="AU144" s="20">
        <f t="shared" si="105"/>
        <v>0</v>
      </c>
      <c r="AV144" s="20">
        <f t="shared" si="106"/>
        <v>0</v>
      </c>
      <c r="AW144" s="20">
        <f t="shared" si="107"/>
        <v>0</v>
      </c>
    </row>
    <row r="145" spans="13:49" hidden="1">
      <c r="M145" s="31"/>
      <c r="AL145" s="21">
        <v>0</v>
      </c>
      <c r="AM145" s="21">
        <v>0</v>
      </c>
      <c r="AO145" s="19">
        <v>17</v>
      </c>
      <c r="AP145" s="20">
        <f t="shared" si="100"/>
        <v>0</v>
      </c>
      <c r="AQ145" s="20">
        <f t="shared" si="101"/>
        <v>0</v>
      </c>
      <c r="AR145" s="20">
        <f t="shared" si="102"/>
        <v>0</v>
      </c>
      <c r="AS145" s="20">
        <f t="shared" si="103"/>
        <v>0</v>
      </c>
      <c r="AT145" s="20">
        <f t="shared" si="104"/>
        <v>0</v>
      </c>
      <c r="AU145" s="20">
        <f t="shared" si="105"/>
        <v>0</v>
      </c>
      <c r="AV145" s="20">
        <f t="shared" si="106"/>
        <v>0</v>
      </c>
      <c r="AW145" s="20">
        <f t="shared" si="107"/>
        <v>0</v>
      </c>
    </row>
    <row r="146" spans="13:49" hidden="1">
      <c r="M146" s="31"/>
      <c r="AL146" s="21">
        <v>0</v>
      </c>
      <c r="AM146" s="21">
        <v>0</v>
      </c>
      <c r="AO146" s="19">
        <v>18</v>
      </c>
      <c r="AP146" s="20">
        <f t="shared" si="100"/>
        <v>0</v>
      </c>
      <c r="AQ146" s="20">
        <f t="shared" si="101"/>
        <v>0</v>
      </c>
      <c r="AR146" s="20">
        <f t="shared" si="102"/>
        <v>0</v>
      </c>
      <c r="AS146" s="20">
        <f t="shared" si="103"/>
        <v>0</v>
      </c>
      <c r="AT146" s="20">
        <f t="shared" si="104"/>
        <v>0</v>
      </c>
      <c r="AU146" s="20">
        <f t="shared" si="105"/>
        <v>0</v>
      </c>
      <c r="AV146" s="20">
        <f t="shared" si="106"/>
        <v>0</v>
      </c>
      <c r="AW146" s="20">
        <f t="shared" ref="AW146:AW150" si="108">SUM(AP146:AV146)</f>
        <v>0</v>
      </c>
    </row>
    <row r="147" spans="13:49" hidden="1">
      <c r="M147" s="31"/>
      <c r="AL147" s="21">
        <v>0</v>
      </c>
      <c r="AM147" s="21">
        <v>0</v>
      </c>
      <c r="AO147" s="19">
        <v>19</v>
      </c>
      <c r="AP147" s="20">
        <f t="shared" si="100"/>
        <v>0</v>
      </c>
      <c r="AQ147" s="20">
        <f t="shared" si="101"/>
        <v>0</v>
      </c>
      <c r="AR147" s="20">
        <f t="shared" si="102"/>
        <v>0</v>
      </c>
      <c r="AS147" s="20">
        <f t="shared" si="103"/>
        <v>0</v>
      </c>
      <c r="AT147" s="20">
        <f t="shared" si="104"/>
        <v>0</v>
      </c>
      <c r="AU147" s="20">
        <f t="shared" si="105"/>
        <v>0</v>
      </c>
      <c r="AV147" s="20">
        <f t="shared" si="106"/>
        <v>0</v>
      </c>
      <c r="AW147" s="20">
        <f t="shared" si="108"/>
        <v>0</v>
      </c>
    </row>
    <row r="148" spans="13:49" hidden="1">
      <c r="M148" s="31"/>
      <c r="AL148" s="21">
        <v>0</v>
      </c>
      <c r="AM148" s="21">
        <v>0</v>
      </c>
      <c r="AO148" s="19">
        <v>20</v>
      </c>
      <c r="AP148" s="20">
        <f t="shared" si="100"/>
        <v>0</v>
      </c>
      <c r="AQ148" s="20">
        <f t="shared" si="101"/>
        <v>0</v>
      </c>
      <c r="AR148" s="20">
        <f t="shared" si="102"/>
        <v>0</v>
      </c>
      <c r="AS148" s="20">
        <f t="shared" si="103"/>
        <v>0</v>
      </c>
      <c r="AT148" s="20">
        <f t="shared" si="104"/>
        <v>0</v>
      </c>
      <c r="AU148" s="20">
        <f t="shared" si="105"/>
        <v>0</v>
      </c>
      <c r="AV148" s="20">
        <f t="shared" si="106"/>
        <v>0</v>
      </c>
      <c r="AW148" s="20">
        <f t="shared" si="108"/>
        <v>0</v>
      </c>
    </row>
    <row r="149" spans="13:49" hidden="1">
      <c r="M149" s="31"/>
      <c r="AL149" s="21">
        <v>0</v>
      </c>
      <c r="AM149" s="21">
        <v>0</v>
      </c>
      <c r="AO149" s="19">
        <v>21</v>
      </c>
      <c r="AP149" s="20">
        <f t="shared" si="100"/>
        <v>0</v>
      </c>
      <c r="AQ149" s="20">
        <f t="shared" si="101"/>
        <v>0</v>
      </c>
      <c r="AR149" s="20">
        <f t="shared" si="102"/>
        <v>0</v>
      </c>
      <c r="AS149" s="20">
        <f t="shared" si="103"/>
        <v>0</v>
      </c>
      <c r="AT149" s="20">
        <f t="shared" si="104"/>
        <v>0</v>
      </c>
      <c r="AU149" s="20">
        <f t="shared" si="105"/>
        <v>0</v>
      </c>
      <c r="AV149" s="20">
        <f t="shared" si="106"/>
        <v>0</v>
      </c>
      <c r="AW149" s="20">
        <f t="shared" si="108"/>
        <v>0</v>
      </c>
    </row>
    <row r="150" spans="13:49" hidden="1">
      <c r="M150" s="31"/>
      <c r="AL150" s="21">
        <v>0</v>
      </c>
      <c r="AM150" s="21">
        <v>0</v>
      </c>
      <c r="AO150" s="19">
        <v>22</v>
      </c>
      <c r="AP150" s="20">
        <f t="shared" si="100"/>
        <v>0</v>
      </c>
      <c r="AQ150" s="20">
        <f t="shared" si="101"/>
        <v>0</v>
      </c>
      <c r="AR150" s="20">
        <f t="shared" si="102"/>
        <v>0</v>
      </c>
      <c r="AS150" s="20">
        <f t="shared" si="103"/>
        <v>0</v>
      </c>
      <c r="AT150" s="20">
        <f t="shared" si="104"/>
        <v>0</v>
      </c>
      <c r="AU150" s="20">
        <f t="shared" si="105"/>
        <v>0</v>
      </c>
      <c r="AV150" s="20">
        <f t="shared" si="106"/>
        <v>0</v>
      </c>
      <c r="AW150" s="20">
        <f t="shared" si="108"/>
        <v>0</v>
      </c>
    </row>
    <row r="151" spans="13:49" hidden="1">
      <c r="M151" s="31"/>
      <c r="AL151" s="21">
        <v>0</v>
      </c>
      <c r="AM151" s="21">
        <v>0</v>
      </c>
      <c r="AO151" s="16" t="s">
        <v>7</v>
      </c>
      <c r="AP151" s="20">
        <f>SUM(AP135:AP150)</f>
        <v>0</v>
      </c>
      <c r="AQ151" s="20">
        <f t="shared" ref="AQ151:AV151" si="109">SUM(AQ135:AQ150)</f>
        <v>0</v>
      </c>
      <c r="AR151" s="20">
        <f t="shared" si="109"/>
        <v>0</v>
      </c>
      <c r="AS151" s="20">
        <f t="shared" si="109"/>
        <v>0</v>
      </c>
      <c r="AT151" s="20">
        <f t="shared" si="109"/>
        <v>0</v>
      </c>
      <c r="AU151" s="20">
        <f t="shared" si="109"/>
        <v>0</v>
      </c>
      <c r="AV151" s="20">
        <f t="shared" si="109"/>
        <v>0</v>
      </c>
      <c r="AW151" s="20">
        <f>SUM(AP151:AV151)</f>
        <v>0</v>
      </c>
    </row>
    <row r="152" spans="13:49" hidden="1">
      <c r="M152" s="31"/>
      <c r="AL152" s="21">
        <v>0</v>
      </c>
      <c r="AM152" s="21">
        <v>0</v>
      </c>
      <c r="AO152" s="21"/>
      <c r="AP152" s="21"/>
      <c r="AQ152" s="21"/>
      <c r="AR152" s="21"/>
      <c r="AS152" s="21"/>
      <c r="AT152" s="21"/>
      <c r="AU152" s="21"/>
      <c r="AV152" s="21"/>
      <c r="AW152" s="21"/>
    </row>
    <row r="153" spans="13:49" hidden="1">
      <c r="M153" s="31"/>
      <c r="AL153" s="21">
        <v>0</v>
      </c>
      <c r="AM153" s="21">
        <v>0</v>
      </c>
      <c r="AO153" s="15" t="str">
        <f>IF(ISBLANK(A10),"",A10)</f>
        <v/>
      </c>
      <c r="AP153" s="18" t="s">
        <v>1</v>
      </c>
      <c r="AQ153" s="18" t="s">
        <v>2</v>
      </c>
      <c r="AR153" s="18" t="s">
        <v>3</v>
      </c>
      <c r="AS153" s="18" t="s">
        <v>2</v>
      </c>
      <c r="AT153" s="18" t="s">
        <v>4</v>
      </c>
      <c r="AU153" s="18" t="s">
        <v>0</v>
      </c>
      <c r="AV153" s="18" t="s">
        <v>0</v>
      </c>
      <c r="AW153" s="16" t="s">
        <v>8</v>
      </c>
    </row>
    <row r="154" spans="13:49" hidden="1">
      <c r="M154" s="31"/>
      <c r="AL154" s="21">
        <v>0</v>
      </c>
      <c r="AM154" s="21">
        <v>0</v>
      </c>
      <c r="AO154" s="19">
        <v>7</v>
      </c>
      <c r="AP154" s="20">
        <f t="shared" ref="AP154:AP169" si="110">IF(AND($AO154&gt;=$T$10,$AO154&lt;$U$10),1,0)</f>
        <v>0</v>
      </c>
      <c r="AQ154" s="20">
        <f t="shared" ref="AQ154:AQ169" si="111">IF(AND($AO154&gt;=$V$10,$AO154&lt;$W$10),1,0)</f>
        <v>0</v>
      </c>
      <c r="AR154" s="20">
        <f t="shared" ref="AR154:AR169" si="112">IF(AND($AO154&gt;=$X$10,$AO154&lt;$Y$10),1,0)</f>
        <v>0</v>
      </c>
      <c r="AS154" s="20">
        <f t="shared" ref="AS154:AS169" si="113">IF(AND($AO154&gt;=$Z$10,$AO154&lt;$AA$10),1,0)</f>
        <v>0</v>
      </c>
      <c r="AT154" s="20">
        <f t="shared" ref="AT154:AT169" si="114">IF(AND($AO154&gt;=$AB$10,$AO154&lt;$AC$10),1,0)</f>
        <v>0</v>
      </c>
      <c r="AU154" s="20">
        <f t="shared" ref="AU154:AU169" si="115">IF(AND($AO154&gt;=$AD$10,$AO154&lt;$AE$10),1,0)</f>
        <v>0</v>
      </c>
      <c r="AV154" s="20">
        <f t="shared" ref="AV154:AV169" si="116">IF(AND($AO154&gt;=$AF$10,$AO154&lt;$AG$10),1,0)</f>
        <v>0</v>
      </c>
      <c r="AW154" s="20">
        <f>SUM(AP154:AV154)</f>
        <v>0</v>
      </c>
    </row>
    <row r="155" spans="13:49" hidden="1">
      <c r="M155" s="31"/>
      <c r="AL155" s="21">
        <v>0</v>
      </c>
      <c r="AM155" s="21">
        <v>0</v>
      </c>
      <c r="AO155" s="19">
        <v>8</v>
      </c>
      <c r="AP155" s="20">
        <f t="shared" si="110"/>
        <v>0</v>
      </c>
      <c r="AQ155" s="20">
        <f t="shared" si="111"/>
        <v>0</v>
      </c>
      <c r="AR155" s="20">
        <f t="shared" si="112"/>
        <v>0</v>
      </c>
      <c r="AS155" s="20">
        <f t="shared" si="113"/>
        <v>0</v>
      </c>
      <c r="AT155" s="20">
        <f t="shared" si="114"/>
        <v>0</v>
      </c>
      <c r="AU155" s="20">
        <f t="shared" si="115"/>
        <v>0</v>
      </c>
      <c r="AV155" s="20">
        <f t="shared" si="116"/>
        <v>0</v>
      </c>
      <c r="AW155" s="20">
        <f t="shared" ref="AW155:AW164" si="117">SUM(AP155:AV155)</f>
        <v>0</v>
      </c>
    </row>
    <row r="156" spans="13:49" hidden="1">
      <c r="M156" s="31"/>
      <c r="AL156" s="21">
        <v>0</v>
      </c>
      <c r="AM156" s="21">
        <v>0</v>
      </c>
      <c r="AO156" s="19">
        <v>9</v>
      </c>
      <c r="AP156" s="20">
        <f t="shared" si="110"/>
        <v>0</v>
      </c>
      <c r="AQ156" s="20">
        <f t="shared" si="111"/>
        <v>0</v>
      </c>
      <c r="AR156" s="20">
        <f t="shared" si="112"/>
        <v>0</v>
      </c>
      <c r="AS156" s="20">
        <f t="shared" si="113"/>
        <v>0</v>
      </c>
      <c r="AT156" s="20">
        <f t="shared" si="114"/>
        <v>0</v>
      </c>
      <c r="AU156" s="20">
        <f t="shared" si="115"/>
        <v>0</v>
      </c>
      <c r="AV156" s="20">
        <f t="shared" si="116"/>
        <v>0</v>
      </c>
      <c r="AW156" s="20">
        <f t="shared" si="117"/>
        <v>0</v>
      </c>
    </row>
    <row r="157" spans="13:49" hidden="1">
      <c r="M157" s="31"/>
      <c r="AL157" s="21">
        <v>0</v>
      </c>
      <c r="AM157" s="21">
        <v>0</v>
      </c>
      <c r="AO157" s="19">
        <v>10</v>
      </c>
      <c r="AP157" s="20">
        <f t="shared" si="110"/>
        <v>0</v>
      </c>
      <c r="AQ157" s="20">
        <f t="shared" si="111"/>
        <v>0</v>
      </c>
      <c r="AR157" s="20">
        <f t="shared" si="112"/>
        <v>0</v>
      </c>
      <c r="AS157" s="20">
        <f t="shared" si="113"/>
        <v>0</v>
      </c>
      <c r="AT157" s="20">
        <f t="shared" si="114"/>
        <v>0</v>
      </c>
      <c r="AU157" s="20">
        <f t="shared" si="115"/>
        <v>0</v>
      </c>
      <c r="AV157" s="20">
        <f t="shared" si="116"/>
        <v>0</v>
      </c>
      <c r="AW157" s="20">
        <f t="shared" si="117"/>
        <v>0</v>
      </c>
    </row>
    <row r="158" spans="13:49" hidden="1">
      <c r="M158" s="31"/>
      <c r="AL158" s="21">
        <v>0</v>
      </c>
      <c r="AM158" s="21">
        <v>0</v>
      </c>
      <c r="AO158" s="19">
        <v>11</v>
      </c>
      <c r="AP158" s="20">
        <f t="shared" si="110"/>
        <v>0</v>
      </c>
      <c r="AQ158" s="20">
        <f t="shared" si="111"/>
        <v>0</v>
      </c>
      <c r="AR158" s="20">
        <f t="shared" si="112"/>
        <v>0</v>
      </c>
      <c r="AS158" s="20">
        <f t="shared" si="113"/>
        <v>0</v>
      </c>
      <c r="AT158" s="20">
        <f t="shared" si="114"/>
        <v>0</v>
      </c>
      <c r="AU158" s="20">
        <f t="shared" si="115"/>
        <v>0</v>
      </c>
      <c r="AV158" s="20">
        <f t="shared" si="116"/>
        <v>0</v>
      </c>
      <c r="AW158" s="20">
        <f t="shared" si="117"/>
        <v>0</v>
      </c>
    </row>
    <row r="159" spans="13:49" hidden="1">
      <c r="M159" s="31"/>
      <c r="AL159" s="21">
        <v>0</v>
      </c>
      <c r="AM159" s="21">
        <v>0</v>
      </c>
      <c r="AO159" s="19">
        <v>12</v>
      </c>
      <c r="AP159" s="20">
        <f t="shared" si="110"/>
        <v>0</v>
      </c>
      <c r="AQ159" s="20">
        <f t="shared" si="111"/>
        <v>0</v>
      </c>
      <c r="AR159" s="20">
        <f t="shared" si="112"/>
        <v>0</v>
      </c>
      <c r="AS159" s="20">
        <f t="shared" si="113"/>
        <v>0</v>
      </c>
      <c r="AT159" s="20">
        <f t="shared" si="114"/>
        <v>0</v>
      </c>
      <c r="AU159" s="20">
        <f t="shared" si="115"/>
        <v>0</v>
      </c>
      <c r="AV159" s="20">
        <f t="shared" si="116"/>
        <v>0</v>
      </c>
      <c r="AW159" s="20">
        <f t="shared" si="117"/>
        <v>0</v>
      </c>
    </row>
    <row r="160" spans="13:49" hidden="1">
      <c r="M160" s="31"/>
      <c r="AL160" s="21">
        <v>0</v>
      </c>
      <c r="AM160" s="21">
        <v>0</v>
      </c>
      <c r="AO160" s="19">
        <v>13</v>
      </c>
      <c r="AP160" s="20">
        <f t="shared" si="110"/>
        <v>0</v>
      </c>
      <c r="AQ160" s="20">
        <f t="shared" si="111"/>
        <v>0</v>
      </c>
      <c r="AR160" s="20">
        <f t="shared" si="112"/>
        <v>0</v>
      </c>
      <c r="AS160" s="20">
        <f t="shared" si="113"/>
        <v>0</v>
      </c>
      <c r="AT160" s="20">
        <f t="shared" si="114"/>
        <v>0</v>
      </c>
      <c r="AU160" s="20">
        <f t="shared" si="115"/>
        <v>0</v>
      </c>
      <c r="AV160" s="20">
        <f t="shared" si="116"/>
        <v>0</v>
      </c>
      <c r="AW160" s="20">
        <f t="shared" si="117"/>
        <v>0</v>
      </c>
    </row>
    <row r="161" spans="13:49" hidden="1">
      <c r="M161" s="31"/>
      <c r="AL161" s="21">
        <v>0</v>
      </c>
      <c r="AM161" s="21">
        <v>0</v>
      </c>
      <c r="AO161" s="19">
        <v>14</v>
      </c>
      <c r="AP161" s="20">
        <f t="shared" si="110"/>
        <v>0</v>
      </c>
      <c r="AQ161" s="20">
        <f t="shared" si="111"/>
        <v>0</v>
      </c>
      <c r="AR161" s="20">
        <f t="shared" si="112"/>
        <v>0</v>
      </c>
      <c r="AS161" s="20">
        <f t="shared" si="113"/>
        <v>0</v>
      </c>
      <c r="AT161" s="20">
        <f t="shared" si="114"/>
        <v>0</v>
      </c>
      <c r="AU161" s="20">
        <f t="shared" si="115"/>
        <v>0</v>
      </c>
      <c r="AV161" s="20">
        <f t="shared" si="116"/>
        <v>0</v>
      </c>
      <c r="AW161" s="20">
        <f t="shared" si="117"/>
        <v>0</v>
      </c>
    </row>
    <row r="162" spans="13:49" hidden="1">
      <c r="M162" s="31"/>
      <c r="AL162" s="21">
        <v>0</v>
      </c>
      <c r="AM162" s="21">
        <v>0</v>
      </c>
      <c r="AO162" s="19">
        <v>15</v>
      </c>
      <c r="AP162" s="20">
        <f t="shared" si="110"/>
        <v>0</v>
      </c>
      <c r="AQ162" s="20">
        <f t="shared" si="111"/>
        <v>0</v>
      </c>
      <c r="AR162" s="20">
        <f t="shared" si="112"/>
        <v>0</v>
      </c>
      <c r="AS162" s="20">
        <f t="shared" si="113"/>
        <v>0</v>
      </c>
      <c r="AT162" s="20">
        <f t="shared" si="114"/>
        <v>0</v>
      </c>
      <c r="AU162" s="20">
        <f t="shared" si="115"/>
        <v>0</v>
      </c>
      <c r="AV162" s="20">
        <f t="shared" si="116"/>
        <v>0</v>
      </c>
      <c r="AW162" s="20">
        <f t="shared" si="117"/>
        <v>0</v>
      </c>
    </row>
    <row r="163" spans="13:49" hidden="1">
      <c r="M163" s="31"/>
      <c r="AL163" s="21">
        <v>0</v>
      </c>
      <c r="AM163" s="21">
        <v>0</v>
      </c>
      <c r="AO163" s="19">
        <v>16</v>
      </c>
      <c r="AP163" s="20">
        <f t="shared" si="110"/>
        <v>0</v>
      </c>
      <c r="AQ163" s="20">
        <f t="shared" si="111"/>
        <v>0</v>
      </c>
      <c r="AR163" s="20">
        <f t="shared" si="112"/>
        <v>0</v>
      </c>
      <c r="AS163" s="20">
        <f t="shared" si="113"/>
        <v>0</v>
      </c>
      <c r="AT163" s="20">
        <f t="shared" si="114"/>
        <v>0</v>
      </c>
      <c r="AU163" s="20">
        <f t="shared" si="115"/>
        <v>0</v>
      </c>
      <c r="AV163" s="20">
        <f t="shared" si="116"/>
        <v>0</v>
      </c>
      <c r="AW163" s="20">
        <f t="shared" si="117"/>
        <v>0</v>
      </c>
    </row>
    <row r="164" spans="13:49" hidden="1">
      <c r="M164" s="31"/>
      <c r="AL164" s="21">
        <v>0</v>
      </c>
      <c r="AM164" s="21">
        <v>0</v>
      </c>
      <c r="AO164" s="19">
        <v>17</v>
      </c>
      <c r="AP164" s="20">
        <f t="shared" si="110"/>
        <v>0</v>
      </c>
      <c r="AQ164" s="20">
        <f t="shared" si="111"/>
        <v>0</v>
      </c>
      <c r="AR164" s="20">
        <f t="shared" si="112"/>
        <v>0</v>
      </c>
      <c r="AS164" s="20">
        <f t="shared" si="113"/>
        <v>0</v>
      </c>
      <c r="AT164" s="20">
        <f t="shared" si="114"/>
        <v>0</v>
      </c>
      <c r="AU164" s="20">
        <f t="shared" si="115"/>
        <v>0</v>
      </c>
      <c r="AV164" s="20">
        <f t="shared" si="116"/>
        <v>0</v>
      </c>
      <c r="AW164" s="20">
        <f t="shared" si="117"/>
        <v>0</v>
      </c>
    </row>
    <row r="165" spans="13:49" hidden="1">
      <c r="M165" s="31"/>
      <c r="AL165" s="21">
        <v>0</v>
      </c>
      <c r="AM165" s="21">
        <v>0</v>
      </c>
      <c r="AO165" s="19">
        <v>18</v>
      </c>
      <c r="AP165" s="20">
        <f t="shared" si="110"/>
        <v>0</v>
      </c>
      <c r="AQ165" s="20">
        <f t="shared" si="111"/>
        <v>0</v>
      </c>
      <c r="AR165" s="20">
        <f t="shared" si="112"/>
        <v>0</v>
      </c>
      <c r="AS165" s="20">
        <f t="shared" si="113"/>
        <v>0</v>
      </c>
      <c r="AT165" s="20">
        <f t="shared" si="114"/>
        <v>0</v>
      </c>
      <c r="AU165" s="20">
        <f t="shared" si="115"/>
        <v>0</v>
      </c>
      <c r="AV165" s="20">
        <f t="shared" si="116"/>
        <v>0</v>
      </c>
      <c r="AW165" s="20">
        <f t="shared" ref="AW165:AW169" si="118">SUM(AP165:AV165)</f>
        <v>0</v>
      </c>
    </row>
    <row r="166" spans="13:49" hidden="1">
      <c r="M166" s="31"/>
      <c r="AL166" s="21">
        <v>0</v>
      </c>
      <c r="AM166" s="21">
        <v>0</v>
      </c>
      <c r="AO166" s="19">
        <v>19</v>
      </c>
      <c r="AP166" s="20">
        <f t="shared" si="110"/>
        <v>0</v>
      </c>
      <c r="AQ166" s="20">
        <f t="shared" si="111"/>
        <v>0</v>
      </c>
      <c r="AR166" s="20">
        <f t="shared" si="112"/>
        <v>0</v>
      </c>
      <c r="AS166" s="20">
        <f t="shared" si="113"/>
        <v>0</v>
      </c>
      <c r="AT166" s="20">
        <f t="shared" si="114"/>
        <v>0</v>
      </c>
      <c r="AU166" s="20">
        <f t="shared" si="115"/>
        <v>0</v>
      </c>
      <c r="AV166" s="20">
        <f t="shared" si="116"/>
        <v>0</v>
      </c>
      <c r="AW166" s="20">
        <f t="shared" si="118"/>
        <v>0</v>
      </c>
    </row>
    <row r="167" spans="13:49" hidden="1">
      <c r="M167" s="31"/>
      <c r="AL167" s="21">
        <v>0</v>
      </c>
      <c r="AM167" s="21">
        <v>0</v>
      </c>
      <c r="AO167" s="19">
        <v>20</v>
      </c>
      <c r="AP167" s="20">
        <f t="shared" si="110"/>
        <v>0</v>
      </c>
      <c r="AQ167" s="20">
        <f t="shared" si="111"/>
        <v>0</v>
      </c>
      <c r="AR167" s="20">
        <f t="shared" si="112"/>
        <v>0</v>
      </c>
      <c r="AS167" s="20">
        <f t="shared" si="113"/>
        <v>0</v>
      </c>
      <c r="AT167" s="20">
        <f t="shared" si="114"/>
        <v>0</v>
      </c>
      <c r="AU167" s="20">
        <f t="shared" si="115"/>
        <v>0</v>
      </c>
      <c r="AV167" s="20">
        <f t="shared" si="116"/>
        <v>0</v>
      </c>
      <c r="AW167" s="20">
        <f t="shared" si="118"/>
        <v>0</v>
      </c>
    </row>
    <row r="168" spans="13:49" hidden="1">
      <c r="M168" s="31"/>
      <c r="AL168" s="21">
        <v>0</v>
      </c>
      <c r="AM168" s="21">
        <v>0</v>
      </c>
      <c r="AO168" s="19">
        <v>21</v>
      </c>
      <c r="AP168" s="20">
        <f t="shared" si="110"/>
        <v>0</v>
      </c>
      <c r="AQ168" s="20">
        <f t="shared" si="111"/>
        <v>0</v>
      </c>
      <c r="AR168" s="20">
        <f t="shared" si="112"/>
        <v>0</v>
      </c>
      <c r="AS168" s="20">
        <f t="shared" si="113"/>
        <v>0</v>
      </c>
      <c r="AT168" s="20">
        <f t="shared" si="114"/>
        <v>0</v>
      </c>
      <c r="AU168" s="20">
        <f t="shared" si="115"/>
        <v>0</v>
      </c>
      <c r="AV168" s="20">
        <f t="shared" si="116"/>
        <v>0</v>
      </c>
      <c r="AW168" s="20">
        <f t="shared" si="118"/>
        <v>0</v>
      </c>
    </row>
    <row r="169" spans="13:49" hidden="1">
      <c r="M169" s="31"/>
      <c r="AL169" s="21">
        <v>0</v>
      </c>
      <c r="AM169" s="21">
        <v>0</v>
      </c>
      <c r="AO169" s="19">
        <v>22</v>
      </c>
      <c r="AP169" s="20">
        <f t="shared" si="110"/>
        <v>0</v>
      </c>
      <c r="AQ169" s="20">
        <f t="shared" si="111"/>
        <v>0</v>
      </c>
      <c r="AR169" s="20">
        <f t="shared" si="112"/>
        <v>0</v>
      </c>
      <c r="AS169" s="20">
        <f t="shared" si="113"/>
        <v>0</v>
      </c>
      <c r="AT169" s="20">
        <f t="shared" si="114"/>
        <v>0</v>
      </c>
      <c r="AU169" s="20">
        <f t="shared" si="115"/>
        <v>0</v>
      </c>
      <c r="AV169" s="20">
        <f t="shared" si="116"/>
        <v>0</v>
      </c>
      <c r="AW169" s="20">
        <f t="shared" si="118"/>
        <v>0</v>
      </c>
    </row>
    <row r="170" spans="13:49" hidden="1">
      <c r="M170" s="31"/>
      <c r="AL170" s="21">
        <v>0</v>
      </c>
      <c r="AM170" s="21">
        <v>0</v>
      </c>
      <c r="AO170" s="16" t="s">
        <v>7</v>
      </c>
      <c r="AP170" s="20">
        <f>SUM(AP154:AP164)</f>
        <v>0</v>
      </c>
      <c r="AQ170" s="20">
        <f t="shared" ref="AQ170" si="119">SUM(AQ154:AQ164)</f>
        <v>0</v>
      </c>
      <c r="AR170" s="20">
        <f t="shared" ref="AR170" si="120">SUM(AR154:AR164)</f>
        <v>0</v>
      </c>
      <c r="AS170" s="20">
        <f t="shared" ref="AS170" si="121">SUM(AS154:AS164)</f>
        <v>0</v>
      </c>
      <c r="AT170" s="20">
        <f t="shared" ref="AT170" si="122">SUM(AT154:AT164)</f>
        <v>0</v>
      </c>
      <c r="AU170" s="20">
        <f t="shared" ref="AU170" si="123">SUM(AU154:AU164)</f>
        <v>0</v>
      </c>
      <c r="AV170" s="20">
        <f t="shared" ref="AV170" si="124">SUM(AV154:AV164)</f>
        <v>0</v>
      </c>
      <c r="AW170" s="20">
        <f>SUM(AP170:AV170)</f>
        <v>0</v>
      </c>
    </row>
    <row r="171" spans="13:49" hidden="1">
      <c r="M171" s="31"/>
      <c r="AL171" s="21">
        <v>0</v>
      </c>
      <c r="AM171" s="21">
        <v>0</v>
      </c>
      <c r="AO171" s="21"/>
      <c r="AP171" s="21"/>
      <c r="AQ171" s="21"/>
      <c r="AR171" s="21"/>
      <c r="AS171" s="21"/>
      <c r="AT171" s="21"/>
      <c r="AU171" s="21"/>
      <c r="AV171" s="21"/>
      <c r="AW171" s="21"/>
    </row>
    <row r="172" spans="13:49" hidden="1">
      <c r="M172" s="31"/>
      <c r="AL172" s="21">
        <v>0</v>
      </c>
      <c r="AM172" s="21">
        <v>0</v>
      </c>
      <c r="AO172" s="15" t="str">
        <f>IF(ISBLANK(A11),"",A11)</f>
        <v/>
      </c>
      <c r="AP172" s="18" t="s">
        <v>1</v>
      </c>
      <c r="AQ172" s="18" t="s">
        <v>2</v>
      </c>
      <c r="AR172" s="18" t="s">
        <v>3</v>
      </c>
      <c r="AS172" s="18" t="s">
        <v>2</v>
      </c>
      <c r="AT172" s="18" t="s">
        <v>4</v>
      </c>
      <c r="AU172" s="18" t="s">
        <v>0</v>
      </c>
      <c r="AV172" s="18" t="s">
        <v>0</v>
      </c>
      <c r="AW172" s="16" t="s">
        <v>8</v>
      </c>
    </row>
    <row r="173" spans="13:49" hidden="1">
      <c r="M173" s="31"/>
      <c r="AL173" s="21">
        <v>0</v>
      </c>
      <c r="AM173" s="21">
        <v>0</v>
      </c>
      <c r="AO173" s="19">
        <v>7</v>
      </c>
      <c r="AP173" s="20">
        <f t="shared" ref="AP173:AP188" si="125">IF(AND($AO173&gt;=$T$11,$AO173&lt;$U$11),1,0)</f>
        <v>0</v>
      </c>
      <c r="AQ173" s="20">
        <f t="shared" ref="AQ173:AQ188" si="126">IF(AND($AO173&gt;=$V$11,$AO173&lt;$W$11),1,0)</f>
        <v>0</v>
      </c>
      <c r="AR173" s="20">
        <f t="shared" ref="AR173:AR188" si="127">IF(AND($AO173&gt;=$X$11,$AO173&lt;$Y$11),1,0)</f>
        <v>0</v>
      </c>
      <c r="AS173" s="20">
        <f t="shared" ref="AS173:AS188" si="128">IF(AND($AO173&gt;=$Z$11,$AO173&lt;$AA$11),1,0)</f>
        <v>0</v>
      </c>
      <c r="AT173" s="20">
        <f t="shared" ref="AT173:AT188" si="129">IF(AND($AO173&gt;=$AB$11,$AO173&lt;$AC$11),1,0)</f>
        <v>0</v>
      </c>
      <c r="AU173" s="20">
        <f t="shared" ref="AU173:AU188" si="130">IF(AND($AO173&gt;=$AD$11,$AO173&lt;$AE$11),1,0)</f>
        <v>0</v>
      </c>
      <c r="AV173" s="20">
        <f t="shared" ref="AV173:AV188" si="131">IF(AND($AO173&gt;=$AF$11,$AO173&lt;$AG$11),1,0)</f>
        <v>0</v>
      </c>
      <c r="AW173" s="20">
        <f>SUM(AP173:AV173)</f>
        <v>0</v>
      </c>
    </row>
    <row r="174" spans="13:49" hidden="1">
      <c r="M174" s="31"/>
      <c r="AL174" s="21">
        <v>0</v>
      </c>
      <c r="AM174" s="21">
        <v>0</v>
      </c>
      <c r="AO174" s="19">
        <v>8</v>
      </c>
      <c r="AP174" s="20">
        <f t="shared" si="125"/>
        <v>0</v>
      </c>
      <c r="AQ174" s="20">
        <f t="shared" si="126"/>
        <v>0</v>
      </c>
      <c r="AR174" s="20">
        <f t="shared" si="127"/>
        <v>0</v>
      </c>
      <c r="AS174" s="20">
        <f t="shared" si="128"/>
        <v>0</v>
      </c>
      <c r="AT174" s="20">
        <f t="shared" si="129"/>
        <v>0</v>
      </c>
      <c r="AU174" s="20">
        <f t="shared" si="130"/>
        <v>0</v>
      </c>
      <c r="AV174" s="20">
        <f t="shared" si="131"/>
        <v>0</v>
      </c>
      <c r="AW174" s="20">
        <f t="shared" ref="AW174:AW183" si="132">SUM(AP174:AV174)</f>
        <v>0</v>
      </c>
    </row>
    <row r="175" spans="13:49" hidden="1">
      <c r="M175" s="31"/>
      <c r="AL175" s="21">
        <v>0</v>
      </c>
      <c r="AM175" s="21">
        <v>0</v>
      </c>
      <c r="AO175" s="19">
        <v>9</v>
      </c>
      <c r="AP175" s="20">
        <f t="shared" si="125"/>
        <v>0</v>
      </c>
      <c r="AQ175" s="20">
        <f t="shared" si="126"/>
        <v>0</v>
      </c>
      <c r="AR175" s="20">
        <f t="shared" si="127"/>
        <v>0</v>
      </c>
      <c r="AS175" s="20">
        <f t="shared" si="128"/>
        <v>0</v>
      </c>
      <c r="AT175" s="20">
        <f t="shared" si="129"/>
        <v>0</v>
      </c>
      <c r="AU175" s="20">
        <f t="shared" si="130"/>
        <v>0</v>
      </c>
      <c r="AV175" s="20">
        <f t="shared" si="131"/>
        <v>0</v>
      </c>
      <c r="AW175" s="20">
        <f t="shared" si="132"/>
        <v>0</v>
      </c>
    </row>
    <row r="176" spans="13:49" hidden="1">
      <c r="M176" s="31"/>
      <c r="AL176" s="21">
        <v>0</v>
      </c>
      <c r="AM176" s="21">
        <v>0</v>
      </c>
      <c r="AO176" s="19">
        <v>10</v>
      </c>
      <c r="AP176" s="20">
        <f t="shared" si="125"/>
        <v>0</v>
      </c>
      <c r="AQ176" s="20">
        <f t="shared" si="126"/>
        <v>0</v>
      </c>
      <c r="AR176" s="20">
        <f t="shared" si="127"/>
        <v>0</v>
      </c>
      <c r="AS176" s="20">
        <f t="shared" si="128"/>
        <v>0</v>
      </c>
      <c r="AT176" s="20">
        <f t="shared" si="129"/>
        <v>0</v>
      </c>
      <c r="AU176" s="20">
        <f t="shared" si="130"/>
        <v>0</v>
      </c>
      <c r="AV176" s="20">
        <f t="shared" si="131"/>
        <v>0</v>
      </c>
      <c r="AW176" s="20">
        <f t="shared" si="132"/>
        <v>0</v>
      </c>
    </row>
    <row r="177" spans="13:49" hidden="1">
      <c r="M177" s="31"/>
      <c r="AL177" s="21">
        <v>0</v>
      </c>
      <c r="AM177" s="21">
        <v>0</v>
      </c>
      <c r="AO177" s="19">
        <v>11</v>
      </c>
      <c r="AP177" s="20">
        <f t="shared" si="125"/>
        <v>0</v>
      </c>
      <c r="AQ177" s="20">
        <f t="shared" si="126"/>
        <v>0</v>
      </c>
      <c r="AR177" s="20">
        <f t="shared" si="127"/>
        <v>0</v>
      </c>
      <c r="AS177" s="20">
        <f t="shared" si="128"/>
        <v>0</v>
      </c>
      <c r="AT177" s="20">
        <f t="shared" si="129"/>
        <v>0</v>
      </c>
      <c r="AU177" s="20">
        <f t="shared" si="130"/>
        <v>0</v>
      </c>
      <c r="AV177" s="20">
        <f t="shared" si="131"/>
        <v>0</v>
      </c>
      <c r="AW177" s="20">
        <f t="shared" si="132"/>
        <v>0</v>
      </c>
    </row>
    <row r="178" spans="13:49" hidden="1">
      <c r="M178" s="31"/>
      <c r="AL178" s="21">
        <v>0</v>
      </c>
      <c r="AM178" s="21">
        <v>0</v>
      </c>
      <c r="AO178" s="19">
        <v>12</v>
      </c>
      <c r="AP178" s="20">
        <f t="shared" si="125"/>
        <v>0</v>
      </c>
      <c r="AQ178" s="20">
        <f t="shared" si="126"/>
        <v>0</v>
      </c>
      <c r="AR178" s="20">
        <f t="shared" si="127"/>
        <v>0</v>
      </c>
      <c r="AS178" s="20">
        <f t="shared" si="128"/>
        <v>0</v>
      </c>
      <c r="AT178" s="20">
        <f t="shared" si="129"/>
        <v>0</v>
      </c>
      <c r="AU178" s="20">
        <f t="shared" si="130"/>
        <v>0</v>
      </c>
      <c r="AV178" s="20">
        <f t="shared" si="131"/>
        <v>0</v>
      </c>
      <c r="AW178" s="20">
        <f t="shared" si="132"/>
        <v>0</v>
      </c>
    </row>
    <row r="179" spans="13:49" hidden="1">
      <c r="M179" s="31"/>
      <c r="AL179" s="21">
        <v>0</v>
      </c>
      <c r="AM179" s="21">
        <v>0</v>
      </c>
      <c r="AO179" s="19">
        <v>13</v>
      </c>
      <c r="AP179" s="20">
        <f t="shared" si="125"/>
        <v>0</v>
      </c>
      <c r="AQ179" s="20">
        <f t="shared" si="126"/>
        <v>0</v>
      </c>
      <c r="AR179" s="20">
        <f t="shared" si="127"/>
        <v>0</v>
      </c>
      <c r="AS179" s="20">
        <f t="shared" si="128"/>
        <v>0</v>
      </c>
      <c r="AT179" s="20">
        <f t="shared" si="129"/>
        <v>0</v>
      </c>
      <c r="AU179" s="20">
        <f t="shared" si="130"/>
        <v>0</v>
      </c>
      <c r="AV179" s="20">
        <f t="shared" si="131"/>
        <v>0</v>
      </c>
      <c r="AW179" s="20">
        <f t="shared" si="132"/>
        <v>0</v>
      </c>
    </row>
    <row r="180" spans="13:49" hidden="1">
      <c r="M180" s="31"/>
      <c r="AL180" s="21">
        <v>0</v>
      </c>
      <c r="AM180" s="21">
        <v>0</v>
      </c>
      <c r="AO180" s="19">
        <v>14</v>
      </c>
      <c r="AP180" s="20">
        <f t="shared" si="125"/>
        <v>0</v>
      </c>
      <c r="AQ180" s="20">
        <f t="shared" si="126"/>
        <v>0</v>
      </c>
      <c r="AR180" s="20">
        <f t="shared" si="127"/>
        <v>0</v>
      </c>
      <c r="AS180" s="20">
        <f t="shared" si="128"/>
        <v>0</v>
      </c>
      <c r="AT180" s="20">
        <f t="shared" si="129"/>
        <v>0</v>
      </c>
      <c r="AU180" s="20">
        <f t="shared" si="130"/>
        <v>0</v>
      </c>
      <c r="AV180" s="20">
        <f t="shared" si="131"/>
        <v>0</v>
      </c>
      <c r="AW180" s="20">
        <f t="shared" si="132"/>
        <v>0</v>
      </c>
    </row>
    <row r="181" spans="13:49" hidden="1">
      <c r="M181" s="31"/>
      <c r="AL181" s="21">
        <v>0</v>
      </c>
      <c r="AM181" s="21">
        <v>0</v>
      </c>
      <c r="AO181" s="19">
        <v>15</v>
      </c>
      <c r="AP181" s="20">
        <f t="shared" si="125"/>
        <v>0</v>
      </c>
      <c r="AQ181" s="20">
        <f t="shared" si="126"/>
        <v>0</v>
      </c>
      <c r="AR181" s="20">
        <f t="shared" si="127"/>
        <v>0</v>
      </c>
      <c r="AS181" s="20">
        <f t="shared" si="128"/>
        <v>0</v>
      </c>
      <c r="AT181" s="20">
        <f t="shared" si="129"/>
        <v>0</v>
      </c>
      <c r="AU181" s="20">
        <f t="shared" si="130"/>
        <v>0</v>
      </c>
      <c r="AV181" s="20">
        <f t="shared" si="131"/>
        <v>0</v>
      </c>
      <c r="AW181" s="20">
        <f t="shared" si="132"/>
        <v>0</v>
      </c>
    </row>
    <row r="182" spans="13:49" hidden="1">
      <c r="M182" s="31"/>
      <c r="AL182" s="21">
        <v>0</v>
      </c>
      <c r="AM182" s="21">
        <v>0</v>
      </c>
      <c r="AO182" s="19">
        <v>16</v>
      </c>
      <c r="AP182" s="20">
        <f t="shared" si="125"/>
        <v>0</v>
      </c>
      <c r="AQ182" s="20">
        <f t="shared" si="126"/>
        <v>0</v>
      </c>
      <c r="AR182" s="20">
        <f t="shared" si="127"/>
        <v>0</v>
      </c>
      <c r="AS182" s="20">
        <f t="shared" si="128"/>
        <v>0</v>
      </c>
      <c r="AT182" s="20">
        <f t="shared" si="129"/>
        <v>0</v>
      </c>
      <c r="AU182" s="20">
        <f t="shared" si="130"/>
        <v>0</v>
      </c>
      <c r="AV182" s="20">
        <f t="shared" si="131"/>
        <v>0</v>
      </c>
      <c r="AW182" s="20">
        <f t="shared" si="132"/>
        <v>0</v>
      </c>
    </row>
    <row r="183" spans="13:49" hidden="1">
      <c r="M183" s="31"/>
      <c r="AL183" s="21">
        <v>0</v>
      </c>
      <c r="AM183" s="21">
        <v>0</v>
      </c>
      <c r="AO183" s="19">
        <v>17</v>
      </c>
      <c r="AP183" s="20">
        <f t="shared" si="125"/>
        <v>0</v>
      </c>
      <c r="AQ183" s="20">
        <f t="shared" si="126"/>
        <v>0</v>
      </c>
      <c r="AR183" s="20">
        <f t="shared" si="127"/>
        <v>0</v>
      </c>
      <c r="AS183" s="20">
        <f t="shared" si="128"/>
        <v>0</v>
      </c>
      <c r="AT183" s="20">
        <f t="shared" si="129"/>
        <v>0</v>
      </c>
      <c r="AU183" s="20">
        <f t="shared" si="130"/>
        <v>0</v>
      </c>
      <c r="AV183" s="20">
        <f t="shared" si="131"/>
        <v>0</v>
      </c>
      <c r="AW183" s="20">
        <f t="shared" si="132"/>
        <v>0</v>
      </c>
    </row>
    <row r="184" spans="13:49" hidden="1">
      <c r="M184" s="31"/>
      <c r="AL184" s="21">
        <v>0</v>
      </c>
      <c r="AM184" s="21">
        <v>0</v>
      </c>
      <c r="AO184" s="19">
        <v>18</v>
      </c>
      <c r="AP184" s="20">
        <f t="shared" si="125"/>
        <v>0</v>
      </c>
      <c r="AQ184" s="20">
        <f t="shared" si="126"/>
        <v>0</v>
      </c>
      <c r="AR184" s="20">
        <f t="shared" si="127"/>
        <v>0</v>
      </c>
      <c r="AS184" s="20">
        <f t="shared" si="128"/>
        <v>0</v>
      </c>
      <c r="AT184" s="20">
        <f t="shared" si="129"/>
        <v>0</v>
      </c>
      <c r="AU184" s="20">
        <f t="shared" si="130"/>
        <v>0</v>
      </c>
      <c r="AV184" s="20">
        <f t="shared" si="131"/>
        <v>0</v>
      </c>
      <c r="AW184" s="20">
        <f t="shared" ref="AW184:AW188" si="133">SUM(AP184:AV184)</f>
        <v>0</v>
      </c>
    </row>
    <row r="185" spans="13:49" hidden="1">
      <c r="M185" s="31"/>
      <c r="AL185" s="21">
        <v>0</v>
      </c>
      <c r="AM185" s="21">
        <v>0</v>
      </c>
      <c r="AO185" s="19">
        <v>19</v>
      </c>
      <c r="AP185" s="20">
        <f t="shared" si="125"/>
        <v>0</v>
      </c>
      <c r="AQ185" s="20">
        <f t="shared" si="126"/>
        <v>0</v>
      </c>
      <c r="AR185" s="20">
        <f t="shared" si="127"/>
        <v>0</v>
      </c>
      <c r="AS185" s="20">
        <f t="shared" si="128"/>
        <v>0</v>
      </c>
      <c r="AT185" s="20">
        <f t="shared" si="129"/>
        <v>0</v>
      </c>
      <c r="AU185" s="20">
        <f t="shared" si="130"/>
        <v>0</v>
      </c>
      <c r="AV185" s="20">
        <f t="shared" si="131"/>
        <v>0</v>
      </c>
      <c r="AW185" s="20">
        <f t="shared" si="133"/>
        <v>0</v>
      </c>
    </row>
    <row r="186" spans="13:49" hidden="1">
      <c r="M186" s="31"/>
      <c r="AL186" s="21">
        <v>0</v>
      </c>
      <c r="AM186" s="21">
        <v>0</v>
      </c>
      <c r="AO186" s="19">
        <v>20</v>
      </c>
      <c r="AP186" s="20">
        <f t="shared" si="125"/>
        <v>0</v>
      </c>
      <c r="AQ186" s="20">
        <f t="shared" si="126"/>
        <v>0</v>
      </c>
      <c r="AR186" s="20">
        <f t="shared" si="127"/>
        <v>0</v>
      </c>
      <c r="AS186" s="20">
        <f t="shared" si="128"/>
        <v>0</v>
      </c>
      <c r="AT186" s="20">
        <f t="shared" si="129"/>
        <v>0</v>
      </c>
      <c r="AU186" s="20">
        <f t="shared" si="130"/>
        <v>0</v>
      </c>
      <c r="AV186" s="20">
        <f t="shared" si="131"/>
        <v>0</v>
      </c>
      <c r="AW186" s="20">
        <f t="shared" si="133"/>
        <v>0</v>
      </c>
    </row>
    <row r="187" spans="13:49" hidden="1">
      <c r="M187" s="31"/>
      <c r="AL187" s="21">
        <v>0</v>
      </c>
      <c r="AM187" s="21">
        <v>0</v>
      </c>
      <c r="AO187" s="19">
        <v>21</v>
      </c>
      <c r="AP187" s="20">
        <f t="shared" si="125"/>
        <v>0</v>
      </c>
      <c r="AQ187" s="20">
        <f t="shared" si="126"/>
        <v>0</v>
      </c>
      <c r="AR187" s="20">
        <f t="shared" si="127"/>
        <v>0</v>
      </c>
      <c r="AS187" s="20">
        <f t="shared" si="128"/>
        <v>0</v>
      </c>
      <c r="AT187" s="20">
        <f t="shared" si="129"/>
        <v>0</v>
      </c>
      <c r="AU187" s="20">
        <f t="shared" si="130"/>
        <v>0</v>
      </c>
      <c r="AV187" s="20">
        <f t="shared" si="131"/>
        <v>0</v>
      </c>
      <c r="AW187" s="20">
        <f t="shared" si="133"/>
        <v>0</v>
      </c>
    </row>
    <row r="188" spans="13:49" hidden="1">
      <c r="M188" s="31"/>
      <c r="AL188" s="21">
        <v>0</v>
      </c>
      <c r="AM188" s="21">
        <v>0</v>
      </c>
      <c r="AO188" s="19">
        <v>22</v>
      </c>
      <c r="AP188" s="20">
        <f t="shared" si="125"/>
        <v>0</v>
      </c>
      <c r="AQ188" s="20">
        <f t="shared" si="126"/>
        <v>0</v>
      </c>
      <c r="AR188" s="20">
        <f t="shared" si="127"/>
        <v>0</v>
      </c>
      <c r="AS188" s="20">
        <f t="shared" si="128"/>
        <v>0</v>
      </c>
      <c r="AT188" s="20">
        <f t="shared" si="129"/>
        <v>0</v>
      </c>
      <c r="AU188" s="20">
        <f t="shared" si="130"/>
        <v>0</v>
      </c>
      <c r="AV188" s="20">
        <f t="shared" si="131"/>
        <v>0</v>
      </c>
      <c r="AW188" s="20">
        <f t="shared" si="133"/>
        <v>0</v>
      </c>
    </row>
    <row r="189" spans="13:49" hidden="1">
      <c r="M189" s="31"/>
      <c r="AL189" s="21">
        <v>0</v>
      </c>
      <c r="AM189" s="21">
        <v>0</v>
      </c>
      <c r="AO189" s="16" t="s">
        <v>7</v>
      </c>
      <c r="AP189" s="20">
        <f>SUM(AP173:AP183)</f>
        <v>0</v>
      </c>
      <c r="AQ189" s="20">
        <f t="shared" ref="AQ189" si="134">SUM(AQ173:AQ183)</f>
        <v>0</v>
      </c>
      <c r="AR189" s="20">
        <f t="shared" ref="AR189" si="135">SUM(AR173:AR183)</f>
        <v>0</v>
      </c>
      <c r="AS189" s="20">
        <f t="shared" ref="AS189" si="136">SUM(AS173:AS183)</f>
        <v>0</v>
      </c>
      <c r="AT189" s="20">
        <f t="shared" ref="AT189" si="137">SUM(AT173:AT183)</f>
        <v>0</v>
      </c>
      <c r="AU189" s="20">
        <f t="shared" ref="AU189" si="138">SUM(AU173:AU183)</f>
        <v>0</v>
      </c>
      <c r="AV189" s="20">
        <f t="shared" ref="AV189" si="139">SUM(AV173:AV183)</f>
        <v>0</v>
      </c>
      <c r="AW189" s="20">
        <f>SUM(AP189:AV189)</f>
        <v>0</v>
      </c>
    </row>
    <row r="190" spans="13:49" hidden="1">
      <c r="M190" s="31"/>
      <c r="AL190" s="21">
        <v>0</v>
      </c>
      <c r="AM190" s="21">
        <v>0</v>
      </c>
      <c r="AO190" s="21"/>
      <c r="AP190" s="21"/>
      <c r="AQ190" s="21"/>
      <c r="AR190" s="21"/>
      <c r="AS190" s="21"/>
      <c r="AT190" s="21"/>
      <c r="AU190" s="21"/>
      <c r="AV190" s="21"/>
      <c r="AW190" s="21"/>
    </row>
    <row r="191" spans="13:49" hidden="1">
      <c r="M191" s="31"/>
      <c r="AL191" s="21">
        <v>0</v>
      </c>
      <c r="AM191" s="21">
        <v>0</v>
      </c>
      <c r="AO191" s="15" t="str">
        <f>IF(ISBLANK(A12),"",A12)</f>
        <v/>
      </c>
      <c r="AP191" s="18" t="s">
        <v>1</v>
      </c>
      <c r="AQ191" s="18" t="s">
        <v>2</v>
      </c>
      <c r="AR191" s="18" t="s">
        <v>3</v>
      </c>
      <c r="AS191" s="18" t="s">
        <v>2</v>
      </c>
      <c r="AT191" s="18" t="s">
        <v>4</v>
      </c>
      <c r="AU191" s="18" t="s">
        <v>0</v>
      </c>
      <c r="AV191" s="18" t="s">
        <v>0</v>
      </c>
      <c r="AW191" s="16" t="s">
        <v>8</v>
      </c>
    </row>
    <row r="192" spans="13:49" hidden="1">
      <c r="M192" s="31"/>
      <c r="AL192" s="21">
        <v>0</v>
      </c>
      <c r="AM192" s="21">
        <v>0</v>
      </c>
      <c r="AO192" s="19">
        <v>7</v>
      </c>
      <c r="AP192" s="20">
        <f t="shared" ref="AP192:AP207" si="140">IF(AND($AO192&gt;=$T$12,$AO192&lt;$U$12),1,0)</f>
        <v>0</v>
      </c>
      <c r="AQ192" s="20">
        <f t="shared" ref="AQ192:AQ207" si="141">IF(AND($AO192&gt;=$V$12,$AO192&lt;$W$12),1,0)</f>
        <v>0</v>
      </c>
      <c r="AR192" s="20">
        <f t="shared" ref="AR192:AR207" si="142">IF(AND($AO192&gt;=$X$12,$AO192&lt;$Y$12),1,0)</f>
        <v>0</v>
      </c>
      <c r="AS192" s="20">
        <f t="shared" ref="AS192:AS207" si="143">IF(AND($AO192&gt;=$Z$12,$AO192&lt;$AA$12),1,0)</f>
        <v>0</v>
      </c>
      <c r="AT192" s="20">
        <f t="shared" ref="AT192:AT207" si="144">IF(AND($AO192&gt;=$AB$12,$AO192&lt;$AC$12),1,0)</f>
        <v>0</v>
      </c>
      <c r="AU192" s="20">
        <f t="shared" ref="AU192:AU207" si="145">IF(AND($AO192&gt;=$AD$12,$AO192&lt;$AE$12),1,0)</f>
        <v>0</v>
      </c>
      <c r="AV192" s="20">
        <f t="shared" ref="AV192:AV207" si="146">IF(AND($AO192&gt;=$AF$12,$AO192&lt;$AG$12),1,0)</f>
        <v>0</v>
      </c>
      <c r="AW192" s="20">
        <f>SUM(AP192:AV192)</f>
        <v>0</v>
      </c>
    </row>
    <row r="193" spans="13:49" hidden="1">
      <c r="M193" s="31"/>
      <c r="AL193" s="21">
        <v>0</v>
      </c>
      <c r="AM193" s="21">
        <v>0</v>
      </c>
      <c r="AO193" s="19">
        <v>8</v>
      </c>
      <c r="AP193" s="20">
        <f t="shared" si="140"/>
        <v>0</v>
      </c>
      <c r="AQ193" s="20">
        <f t="shared" si="141"/>
        <v>0</v>
      </c>
      <c r="AR193" s="20">
        <f t="shared" si="142"/>
        <v>0</v>
      </c>
      <c r="AS193" s="20">
        <f t="shared" si="143"/>
        <v>0</v>
      </c>
      <c r="AT193" s="20">
        <f t="shared" si="144"/>
        <v>0</v>
      </c>
      <c r="AU193" s="20">
        <f t="shared" si="145"/>
        <v>0</v>
      </c>
      <c r="AV193" s="20">
        <f t="shared" si="146"/>
        <v>0</v>
      </c>
      <c r="AW193" s="20">
        <f t="shared" ref="AW193:AW202" si="147">SUM(AP193:AV193)</f>
        <v>0</v>
      </c>
    </row>
    <row r="194" spans="13:49" hidden="1">
      <c r="M194" s="31"/>
      <c r="AL194" s="21">
        <v>0</v>
      </c>
      <c r="AM194" s="21">
        <v>0</v>
      </c>
      <c r="AO194" s="19">
        <v>9</v>
      </c>
      <c r="AP194" s="20">
        <f t="shared" si="140"/>
        <v>0</v>
      </c>
      <c r="AQ194" s="20">
        <f t="shared" si="141"/>
        <v>0</v>
      </c>
      <c r="AR194" s="20">
        <f t="shared" si="142"/>
        <v>0</v>
      </c>
      <c r="AS194" s="20">
        <f t="shared" si="143"/>
        <v>0</v>
      </c>
      <c r="AT194" s="20">
        <f t="shared" si="144"/>
        <v>0</v>
      </c>
      <c r="AU194" s="20">
        <f t="shared" si="145"/>
        <v>0</v>
      </c>
      <c r="AV194" s="20">
        <f t="shared" si="146"/>
        <v>0</v>
      </c>
      <c r="AW194" s="20">
        <f t="shared" si="147"/>
        <v>0</v>
      </c>
    </row>
    <row r="195" spans="13:49" hidden="1">
      <c r="M195" s="31"/>
      <c r="AL195" s="21">
        <v>0</v>
      </c>
      <c r="AM195" s="21">
        <v>0</v>
      </c>
      <c r="AO195" s="19">
        <v>10</v>
      </c>
      <c r="AP195" s="20">
        <f t="shared" si="140"/>
        <v>0</v>
      </c>
      <c r="AQ195" s="20">
        <f t="shared" si="141"/>
        <v>0</v>
      </c>
      <c r="AR195" s="20">
        <f t="shared" si="142"/>
        <v>0</v>
      </c>
      <c r="AS195" s="20">
        <f t="shared" si="143"/>
        <v>0</v>
      </c>
      <c r="AT195" s="20">
        <f t="shared" si="144"/>
        <v>0</v>
      </c>
      <c r="AU195" s="20">
        <f t="shared" si="145"/>
        <v>0</v>
      </c>
      <c r="AV195" s="20">
        <f t="shared" si="146"/>
        <v>0</v>
      </c>
      <c r="AW195" s="20">
        <f t="shared" si="147"/>
        <v>0</v>
      </c>
    </row>
    <row r="196" spans="13:49" hidden="1">
      <c r="M196" s="31"/>
      <c r="AL196" s="21">
        <v>0</v>
      </c>
      <c r="AM196" s="21">
        <v>0</v>
      </c>
      <c r="AO196" s="19">
        <v>11</v>
      </c>
      <c r="AP196" s="20">
        <f t="shared" si="140"/>
        <v>0</v>
      </c>
      <c r="AQ196" s="20">
        <f t="shared" si="141"/>
        <v>0</v>
      </c>
      <c r="AR196" s="20">
        <f t="shared" si="142"/>
        <v>0</v>
      </c>
      <c r="AS196" s="20">
        <f t="shared" si="143"/>
        <v>0</v>
      </c>
      <c r="AT196" s="20">
        <f t="shared" si="144"/>
        <v>0</v>
      </c>
      <c r="AU196" s="20">
        <f t="shared" si="145"/>
        <v>0</v>
      </c>
      <c r="AV196" s="20">
        <f t="shared" si="146"/>
        <v>0</v>
      </c>
      <c r="AW196" s="20">
        <f t="shared" si="147"/>
        <v>0</v>
      </c>
    </row>
    <row r="197" spans="13:49" hidden="1">
      <c r="M197" s="31"/>
      <c r="AL197" s="21">
        <v>0</v>
      </c>
      <c r="AM197" s="21">
        <v>0</v>
      </c>
      <c r="AO197" s="19">
        <v>12</v>
      </c>
      <c r="AP197" s="20">
        <f t="shared" si="140"/>
        <v>0</v>
      </c>
      <c r="AQ197" s="20">
        <f t="shared" si="141"/>
        <v>0</v>
      </c>
      <c r="AR197" s="20">
        <f t="shared" si="142"/>
        <v>0</v>
      </c>
      <c r="AS197" s="20">
        <f t="shared" si="143"/>
        <v>0</v>
      </c>
      <c r="AT197" s="20">
        <f t="shared" si="144"/>
        <v>0</v>
      </c>
      <c r="AU197" s="20">
        <f t="shared" si="145"/>
        <v>0</v>
      </c>
      <c r="AV197" s="20">
        <f t="shared" si="146"/>
        <v>0</v>
      </c>
      <c r="AW197" s="20">
        <f t="shared" si="147"/>
        <v>0</v>
      </c>
    </row>
    <row r="198" spans="13:49" hidden="1">
      <c r="M198" s="31"/>
      <c r="AL198" s="21">
        <v>0</v>
      </c>
      <c r="AM198" s="21">
        <v>0</v>
      </c>
      <c r="AO198" s="19">
        <v>13</v>
      </c>
      <c r="AP198" s="20">
        <f t="shared" si="140"/>
        <v>0</v>
      </c>
      <c r="AQ198" s="20">
        <f t="shared" si="141"/>
        <v>0</v>
      </c>
      <c r="AR198" s="20">
        <f t="shared" si="142"/>
        <v>0</v>
      </c>
      <c r="AS198" s="20">
        <f t="shared" si="143"/>
        <v>0</v>
      </c>
      <c r="AT198" s="20">
        <f t="shared" si="144"/>
        <v>0</v>
      </c>
      <c r="AU198" s="20">
        <f t="shared" si="145"/>
        <v>0</v>
      </c>
      <c r="AV198" s="20">
        <f t="shared" si="146"/>
        <v>0</v>
      </c>
      <c r="AW198" s="20">
        <f t="shared" si="147"/>
        <v>0</v>
      </c>
    </row>
    <row r="199" spans="13:49" hidden="1">
      <c r="M199" s="31"/>
      <c r="AL199" s="21">
        <v>0</v>
      </c>
      <c r="AM199" s="21">
        <v>0</v>
      </c>
      <c r="AO199" s="19">
        <v>14</v>
      </c>
      <c r="AP199" s="20">
        <f t="shared" si="140"/>
        <v>0</v>
      </c>
      <c r="AQ199" s="20">
        <f t="shared" si="141"/>
        <v>0</v>
      </c>
      <c r="AR199" s="20">
        <f t="shared" si="142"/>
        <v>0</v>
      </c>
      <c r="AS199" s="20">
        <f t="shared" si="143"/>
        <v>0</v>
      </c>
      <c r="AT199" s="20">
        <f t="shared" si="144"/>
        <v>0</v>
      </c>
      <c r="AU199" s="20">
        <f t="shared" si="145"/>
        <v>0</v>
      </c>
      <c r="AV199" s="20">
        <f t="shared" si="146"/>
        <v>0</v>
      </c>
      <c r="AW199" s="20">
        <f t="shared" si="147"/>
        <v>0</v>
      </c>
    </row>
    <row r="200" spans="13:49" hidden="1">
      <c r="M200" s="31"/>
      <c r="AL200" s="21">
        <v>0</v>
      </c>
      <c r="AM200" s="21">
        <v>0</v>
      </c>
      <c r="AO200" s="19">
        <v>15</v>
      </c>
      <c r="AP200" s="20">
        <f t="shared" si="140"/>
        <v>0</v>
      </c>
      <c r="AQ200" s="20">
        <f t="shared" si="141"/>
        <v>0</v>
      </c>
      <c r="AR200" s="20">
        <f t="shared" si="142"/>
        <v>0</v>
      </c>
      <c r="AS200" s="20">
        <f t="shared" si="143"/>
        <v>0</v>
      </c>
      <c r="AT200" s="20">
        <f t="shared" si="144"/>
        <v>0</v>
      </c>
      <c r="AU200" s="20">
        <f t="shared" si="145"/>
        <v>0</v>
      </c>
      <c r="AV200" s="20">
        <f t="shared" si="146"/>
        <v>0</v>
      </c>
      <c r="AW200" s="20">
        <f t="shared" si="147"/>
        <v>0</v>
      </c>
    </row>
    <row r="201" spans="13:49" hidden="1">
      <c r="M201" s="31"/>
      <c r="AL201" s="21">
        <v>0</v>
      </c>
      <c r="AM201" s="21">
        <v>0</v>
      </c>
      <c r="AO201" s="19">
        <v>16</v>
      </c>
      <c r="AP201" s="20">
        <f t="shared" si="140"/>
        <v>0</v>
      </c>
      <c r="AQ201" s="20">
        <f t="shared" si="141"/>
        <v>0</v>
      </c>
      <c r="AR201" s="20">
        <f t="shared" si="142"/>
        <v>0</v>
      </c>
      <c r="AS201" s="20">
        <f t="shared" si="143"/>
        <v>0</v>
      </c>
      <c r="AT201" s="20">
        <f t="shared" si="144"/>
        <v>0</v>
      </c>
      <c r="AU201" s="20">
        <f t="shared" si="145"/>
        <v>0</v>
      </c>
      <c r="AV201" s="20">
        <f t="shared" si="146"/>
        <v>0</v>
      </c>
      <c r="AW201" s="20">
        <f t="shared" si="147"/>
        <v>0</v>
      </c>
    </row>
    <row r="202" spans="13:49" hidden="1">
      <c r="M202" s="31"/>
      <c r="AL202" s="21">
        <v>0</v>
      </c>
      <c r="AM202" s="21">
        <v>0</v>
      </c>
      <c r="AO202" s="19">
        <v>17</v>
      </c>
      <c r="AP202" s="20">
        <f t="shared" si="140"/>
        <v>0</v>
      </c>
      <c r="AQ202" s="20">
        <f t="shared" si="141"/>
        <v>0</v>
      </c>
      <c r="AR202" s="20">
        <f t="shared" si="142"/>
        <v>0</v>
      </c>
      <c r="AS202" s="20">
        <f t="shared" si="143"/>
        <v>0</v>
      </c>
      <c r="AT202" s="20">
        <f t="shared" si="144"/>
        <v>0</v>
      </c>
      <c r="AU202" s="20">
        <f t="shared" si="145"/>
        <v>0</v>
      </c>
      <c r="AV202" s="20">
        <f t="shared" si="146"/>
        <v>0</v>
      </c>
      <c r="AW202" s="20">
        <f t="shared" si="147"/>
        <v>0</v>
      </c>
    </row>
    <row r="203" spans="13:49" hidden="1">
      <c r="M203" s="31"/>
      <c r="AL203" s="21">
        <v>0</v>
      </c>
      <c r="AM203" s="21">
        <v>0</v>
      </c>
      <c r="AO203" s="19">
        <v>18</v>
      </c>
      <c r="AP203" s="20">
        <f t="shared" si="140"/>
        <v>0</v>
      </c>
      <c r="AQ203" s="20">
        <f t="shared" si="141"/>
        <v>0</v>
      </c>
      <c r="AR203" s="20">
        <f t="shared" si="142"/>
        <v>0</v>
      </c>
      <c r="AS203" s="20">
        <f t="shared" si="143"/>
        <v>0</v>
      </c>
      <c r="AT203" s="20">
        <f t="shared" si="144"/>
        <v>0</v>
      </c>
      <c r="AU203" s="20">
        <f t="shared" si="145"/>
        <v>0</v>
      </c>
      <c r="AV203" s="20">
        <f t="shared" si="146"/>
        <v>0</v>
      </c>
      <c r="AW203" s="20">
        <f t="shared" ref="AW203:AW207" si="148">SUM(AP203:AV203)</f>
        <v>0</v>
      </c>
    </row>
    <row r="204" spans="13:49" hidden="1">
      <c r="M204" s="31"/>
      <c r="AL204" s="21">
        <v>0</v>
      </c>
      <c r="AM204" s="21">
        <v>0</v>
      </c>
      <c r="AO204" s="19">
        <v>19</v>
      </c>
      <c r="AP204" s="20">
        <f t="shared" si="140"/>
        <v>0</v>
      </c>
      <c r="AQ204" s="20">
        <f t="shared" si="141"/>
        <v>0</v>
      </c>
      <c r="AR204" s="20">
        <f t="shared" si="142"/>
        <v>0</v>
      </c>
      <c r="AS204" s="20">
        <f t="shared" si="143"/>
        <v>0</v>
      </c>
      <c r="AT204" s="20">
        <f t="shared" si="144"/>
        <v>0</v>
      </c>
      <c r="AU204" s="20">
        <f t="shared" si="145"/>
        <v>0</v>
      </c>
      <c r="AV204" s="20">
        <f t="shared" si="146"/>
        <v>0</v>
      </c>
      <c r="AW204" s="20">
        <f t="shared" si="148"/>
        <v>0</v>
      </c>
    </row>
    <row r="205" spans="13:49" hidden="1">
      <c r="M205" s="31"/>
      <c r="AL205" s="21">
        <v>0</v>
      </c>
      <c r="AM205" s="21">
        <v>0</v>
      </c>
      <c r="AO205" s="19">
        <v>20</v>
      </c>
      <c r="AP205" s="20">
        <f t="shared" si="140"/>
        <v>0</v>
      </c>
      <c r="AQ205" s="20">
        <f t="shared" si="141"/>
        <v>0</v>
      </c>
      <c r="AR205" s="20">
        <f t="shared" si="142"/>
        <v>0</v>
      </c>
      <c r="AS205" s="20">
        <f t="shared" si="143"/>
        <v>0</v>
      </c>
      <c r="AT205" s="20">
        <f t="shared" si="144"/>
        <v>0</v>
      </c>
      <c r="AU205" s="20">
        <f t="shared" si="145"/>
        <v>0</v>
      </c>
      <c r="AV205" s="20">
        <f t="shared" si="146"/>
        <v>0</v>
      </c>
      <c r="AW205" s="20">
        <f t="shared" si="148"/>
        <v>0</v>
      </c>
    </row>
    <row r="206" spans="13:49" hidden="1">
      <c r="M206" s="31"/>
      <c r="AL206" s="21">
        <v>0</v>
      </c>
      <c r="AM206" s="21">
        <v>0</v>
      </c>
      <c r="AO206" s="19">
        <v>21</v>
      </c>
      <c r="AP206" s="20">
        <f t="shared" si="140"/>
        <v>0</v>
      </c>
      <c r="AQ206" s="20">
        <f t="shared" si="141"/>
        <v>0</v>
      </c>
      <c r="AR206" s="20">
        <f t="shared" si="142"/>
        <v>0</v>
      </c>
      <c r="AS206" s="20">
        <f t="shared" si="143"/>
        <v>0</v>
      </c>
      <c r="AT206" s="20">
        <f t="shared" si="144"/>
        <v>0</v>
      </c>
      <c r="AU206" s="20">
        <f t="shared" si="145"/>
        <v>0</v>
      </c>
      <c r="AV206" s="20">
        <f t="shared" si="146"/>
        <v>0</v>
      </c>
      <c r="AW206" s="20">
        <f t="shared" si="148"/>
        <v>0</v>
      </c>
    </row>
    <row r="207" spans="13:49" hidden="1">
      <c r="M207" s="31"/>
      <c r="AL207" s="21">
        <v>0</v>
      </c>
      <c r="AM207" s="21">
        <v>0</v>
      </c>
      <c r="AO207" s="19">
        <v>22</v>
      </c>
      <c r="AP207" s="20">
        <f t="shared" si="140"/>
        <v>0</v>
      </c>
      <c r="AQ207" s="20">
        <f t="shared" si="141"/>
        <v>0</v>
      </c>
      <c r="AR207" s="20">
        <f t="shared" si="142"/>
        <v>0</v>
      </c>
      <c r="AS207" s="20">
        <f t="shared" si="143"/>
        <v>0</v>
      </c>
      <c r="AT207" s="20">
        <f t="shared" si="144"/>
        <v>0</v>
      </c>
      <c r="AU207" s="20">
        <f t="shared" si="145"/>
        <v>0</v>
      </c>
      <c r="AV207" s="20">
        <f t="shared" si="146"/>
        <v>0</v>
      </c>
      <c r="AW207" s="20">
        <f t="shared" si="148"/>
        <v>0</v>
      </c>
    </row>
    <row r="208" spans="13:49" hidden="1">
      <c r="M208" s="31"/>
      <c r="AL208" s="21">
        <v>0</v>
      </c>
      <c r="AM208" s="21">
        <v>0</v>
      </c>
      <c r="AO208" s="16" t="s">
        <v>7</v>
      </c>
      <c r="AP208" s="20">
        <f t="shared" ref="AP208:AV208" si="149">SUM(AP192:AP202)</f>
        <v>0</v>
      </c>
      <c r="AQ208" s="20">
        <f t="shared" si="149"/>
        <v>0</v>
      </c>
      <c r="AR208" s="20">
        <f t="shared" si="149"/>
        <v>0</v>
      </c>
      <c r="AS208" s="20">
        <f t="shared" si="149"/>
        <v>0</v>
      </c>
      <c r="AT208" s="20">
        <f t="shared" si="149"/>
        <v>0</v>
      </c>
      <c r="AU208" s="20">
        <f t="shared" si="149"/>
        <v>0</v>
      </c>
      <c r="AV208" s="20">
        <f t="shared" si="149"/>
        <v>0</v>
      </c>
      <c r="AW208" s="20">
        <f>SUM(AP208:AV208)</f>
        <v>0</v>
      </c>
    </row>
    <row r="209" spans="13:49" hidden="1">
      <c r="M209" s="31"/>
      <c r="AL209" s="21">
        <v>0</v>
      </c>
      <c r="AM209" s="21">
        <v>0</v>
      </c>
      <c r="AO209" s="21"/>
      <c r="AP209" s="21"/>
      <c r="AQ209" s="21"/>
      <c r="AR209" s="21"/>
      <c r="AS209" s="21"/>
      <c r="AT209" s="21"/>
      <c r="AU209" s="21"/>
      <c r="AV209" s="21"/>
      <c r="AW209" s="21"/>
    </row>
    <row r="210" spans="13:49" hidden="1">
      <c r="M210" s="31"/>
      <c r="AL210" s="21">
        <v>0</v>
      </c>
      <c r="AM210" s="21">
        <v>0</v>
      </c>
      <c r="AO210" s="15" t="str">
        <f>IF(ISBLANK(A13),"",A13)</f>
        <v/>
      </c>
      <c r="AP210" s="18" t="s">
        <v>1</v>
      </c>
      <c r="AQ210" s="18" t="s">
        <v>2</v>
      </c>
      <c r="AR210" s="18" t="s">
        <v>3</v>
      </c>
      <c r="AS210" s="18" t="s">
        <v>2</v>
      </c>
      <c r="AT210" s="18" t="s">
        <v>4</v>
      </c>
      <c r="AU210" s="18" t="s">
        <v>0</v>
      </c>
      <c r="AV210" s="18" t="s">
        <v>0</v>
      </c>
      <c r="AW210" s="16" t="s">
        <v>8</v>
      </c>
    </row>
    <row r="211" spans="13:49" hidden="1">
      <c r="M211" s="31"/>
      <c r="AL211" s="21">
        <v>0</v>
      </c>
      <c r="AM211" s="21">
        <v>0</v>
      </c>
      <c r="AO211" s="19">
        <v>7</v>
      </c>
      <c r="AP211" s="20">
        <f t="shared" ref="AP211:AP226" si="150">IF(AND($AO211&gt;=$T$13,$AO211&lt;$U$13),1,0)</f>
        <v>0</v>
      </c>
      <c r="AQ211" s="20">
        <f t="shared" ref="AQ211:AQ226" si="151">IF(AND($AO211&gt;=$V$13,$AO211&lt;$W$13),1,0)</f>
        <v>0</v>
      </c>
      <c r="AR211" s="20">
        <f t="shared" ref="AR211:AR226" si="152">IF(AND($AO211&gt;=$X$13,$AO211&lt;$Y$13),1,0)</f>
        <v>0</v>
      </c>
      <c r="AS211" s="20">
        <f t="shared" ref="AS211:AS226" si="153">IF(AND($AO211&gt;=$Z$13,$AO211&lt;$AA$13),1,0)</f>
        <v>0</v>
      </c>
      <c r="AT211" s="20">
        <f t="shared" ref="AT211:AT226" si="154">IF(AND($AO211&gt;=$AB$13,$AO211&lt;$AC$13),1,0)</f>
        <v>0</v>
      </c>
      <c r="AU211" s="20">
        <f t="shared" ref="AU211:AU226" si="155">IF(AND($AO211&gt;=$AD$13,$AO211&lt;$AE$13),1,0)</f>
        <v>0</v>
      </c>
      <c r="AV211" s="20">
        <f t="shared" ref="AV211:AV226" si="156">IF(AND($AO211&gt;=$AF$13,$AO211&lt;$AG$13),1,0)</f>
        <v>0</v>
      </c>
      <c r="AW211" s="20">
        <f>SUM(AP211:AV211)</f>
        <v>0</v>
      </c>
    </row>
    <row r="212" spans="13:49" hidden="1">
      <c r="M212" s="31"/>
      <c r="AL212" s="21">
        <v>0</v>
      </c>
      <c r="AM212" s="21">
        <v>0</v>
      </c>
      <c r="AO212" s="19">
        <v>8</v>
      </c>
      <c r="AP212" s="20">
        <f t="shared" si="150"/>
        <v>0</v>
      </c>
      <c r="AQ212" s="20">
        <f t="shared" si="151"/>
        <v>0</v>
      </c>
      <c r="AR212" s="20">
        <f t="shared" si="152"/>
        <v>0</v>
      </c>
      <c r="AS212" s="20">
        <f t="shared" si="153"/>
        <v>0</v>
      </c>
      <c r="AT212" s="20">
        <f t="shared" si="154"/>
        <v>0</v>
      </c>
      <c r="AU212" s="20">
        <f t="shared" si="155"/>
        <v>0</v>
      </c>
      <c r="AV212" s="20">
        <f t="shared" si="156"/>
        <v>0</v>
      </c>
      <c r="AW212" s="20">
        <f t="shared" ref="AW212:AW221" si="157">SUM(AP212:AV212)</f>
        <v>0</v>
      </c>
    </row>
    <row r="213" spans="13:49" hidden="1">
      <c r="M213" s="31"/>
      <c r="AL213" s="21">
        <v>0</v>
      </c>
      <c r="AM213" s="21">
        <v>0</v>
      </c>
      <c r="AO213" s="19">
        <v>9</v>
      </c>
      <c r="AP213" s="20">
        <f t="shared" si="150"/>
        <v>0</v>
      </c>
      <c r="AQ213" s="20">
        <f t="shared" si="151"/>
        <v>0</v>
      </c>
      <c r="AR213" s="20">
        <f t="shared" si="152"/>
        <v>0</v>
      </c>
      <c r="AS213" s="20">
        <f t="shared" si="153"/>
        <v>0</v>
      </c>
      <c r="AT213" s="20">
        <f t="shared" si="154"/>
        <v>0</v>
      </c>
      <c r="AU213" s="20">
        <f t="shared" si="155"/>
        <v>0</v>
      </c>
      <c r="AV213" s="20">
        <f t="shared" si="156"/>
        <v>0</v>
      </c>
      <c r="AW213" s="20">
        <f t="shared" si="157"/>
        <v>0</v>
      </c>
    </row>
    <row r="214" spans="13:49" hidden="1">
      <c r="M214" s="31"/>
      <c r="AL214" s="21">
        <v>0</v>
      </c>
      <c r="AM214" s="21">
        <v>0</v>
      </c>
      <c r="AO214" s="19">
        <v>10</v>
      </c>
      <c r="AP214" s="20">
        <f t="shared" si="150"/>
        <v>0</v>
      </c>
      <c r="AQ214" s="20">
        <f t="shared" si="151"/>
        <v>0</v>
      </c>
      <c r="AR214" s="20">
        <f t="shared" si="152"/>
        <v>0</v>
      </c>
      <c r="AS214" s="20">
        <f t="shared" si="153"/>
        <v>0</v>
      </c>
      <c r="AT214" s="20">
        <f t="shared" si="154"/>
        <v>0</v>
      </c>
      <c r="AU214" s="20">
        <f t="shared" si="155"/>
        <v>0</v>
      </c>
      <c r="AV214" s="20">
        <f t="shared" si="156"/>
        <v>0</v>
      </c>
      <c r="AW214" s="20">
        <f t="shared" si="157"/>
        <v>0</v>
      </c>
    </row>
    <row r="215" spans="13:49" hidden="1">
      <c r="M215" s="31"/>
      <c r="AL215" s="21">
        <v>0</v>
      </c>
      <c r="AM215" s="21">
        <v>0</v>
      </c>
      <c r="AO215" s="19">
        <v>11</v>
      </c>
      <c r="AP215" s="20">
        <f t="shared" si="150"/>
        <v>0</v>
      </c>
      <c r="AQ215" s="20">
        <f t="shared" si="151"/>
        <v>0</v>
      </c>
      <c r="AR215" s="20">
        <f t="shared" si="152"/>
        <v>0</v>
      </c>
      <c r="AS215" s="20">
        <f t="shared" si="153"/>
        <v>0</v>
      </c>
      <c r="AT215" s="20">
        <f t="shared" si="154"/>
        <v>0</v>
      </c>
      <c r="AU215" s="20">
        <f t="shared" si="155"/>
        <v>0</v>
      </c>
      <c r="AV215" s="20">
        <f t="shared" si="156"/>
        <v>0</v>
      </c>
      <c r="AW215" s="20">
        <f t="shared" si="157"/>
        <v>0</v>
      </c>
    </row>
    <row r="216" spans="13:49" hidden="1">
      <c r="M216" s="31"/>
      <c r="AL216" s="21">
        <v>0</v>
      </c>
      <c r="AM216" s="21">
        <v>0</v>
      </c>
      <c r="AO216" s="19">
        <v>12</v>
      </c>
      <c r="AP216" s="20">
        <f t="shared" si="150"/>
        <v>0</v>
      </c>
      <c r="AQ216" s="20">
        <f t="shared" si="151"/>
        <v>0</v>
      </c>
      <c r="AR216" s="20">
        <f t="shared" si="152"/>
        <v>0</v>
      </c>
      <c r="AS216" s="20">
        <f t="shared" si="153"/>
        <v>0</v>
      </c>
      <c r="AT216" s="20">
        <f t="shared" si="154"/>
        <v>0</v>
      </c>
      <c r="AU216" s="20">
        <f t="shared" si="155"/>
        <v>0</v>
      </c>
      <c r="AV216" s="20">
        <f t="shared" si="156"/>
        <v>0</v>
      </c>
      <c r="AW216" s="20">
        <f t="shared" si="157"/>
        <v>0</v>
      </c>
    </row>
    <row r="217" spans="13:49" hidden="1">
      <c r="M217" s="31"/>
      <c r="AL217" s="21">
        <v>0</v>
      </c>
      <c r="AM217" s="21">
        <v>0</v>
      </c>
      <c r="AO217" s="19">
        <v>13</v>
      </c>
      <c r="AP217" s="20">
        <f t="shared" si="150"/>
        <v>0</v>
      </c>
      <c r="AQ217" s="20">
        <f t="shared" si="151"/>
        <v>0</v>
      </c>
      <c r="AR217" s="20">
        <f t="shared" si="152"/>
        <v>0</v>
      </c>
      <c r="AS217" s="20">
        <f t="shared" si="153"/>
        <v>0</v>
      </c>
      <c r="AT217" s="20">
        <f t="shared" si="154"/>
        <v>0</v>
      </c>
      <c r="AU217" s="20">
        <f t="shared" si="155"/>
        <v>0</v>
      </c>
      <c r="AV217" s="20">
        <f t="shared" si="156"/>
        <v>0</v>
      </c>
      <c r="AW217" s="20">
        <f t="shared" si="157"/>
        <v>0</v>
      </c>
    </row>
    <row r="218" spans="13:49" hidden="1">
      <c r="M218" s="31"/>
      <c r="AL218" s="21">
        <v>0</v>
      </c>
      <c r="AM218" s="21">
        <v>0</v>
      </c>
      <c r="AO218" s="19">
        <v>14</v>
      </c>
      <c r="AP218" s="20">
        <f t="shared" si="150"/>
        <v>0</v>
      </c>
      <c r="AQ218" s="20">
        <f t="shared" si="151"/>
        <v>0</v>
      </c>
      <c r="AR218" s="20">
        <f t="shared" si="152"/>
        <v>0</v>
      </c>
      <c r="AS218" s="20">
        <f t="shared" si="153"/>
        <v>0</v>
      </c>
      <c r="AT218" s="20">
        <f t="shared" si="154"/>
        <v>0</v>
      </c>
      <c r="AU218" s="20">
        <f t="shared" si="155"/>
        <v>0</v>
      </c>
      <c r="AV218" s="20">
        <f t="shared" si="156"/>
        <v>0</v>
      </c>
      <c r="AW218" s="20">
        <f t="shared" si="157"/>
        <v>0</v>
      </c>
    </row>
    <row r="219" spans="13:49" hidden="1">
      <c r="M219" s="31"/>
      <c r="AL219" s="21">
        <v>0</v>
      </c>
      <c r="AM219" s="21">
        <v>0</v>
      </c>
      <c r="AO219" s="19">
        <v>15</v>
      </c>
      <c r="AP219" s="20">
        <f t="shared" si="150"/>
        <v>0</v>
      </c>
      <c r="AQ219" s="20">
        <f t="shared" si="151"/>
        <v>0</v>
      </c>
      <c r="AR219" s="20">
        <f t="shared" si="152"/>
        <v>0</v>
      </c>
      <c r="AS219" s="20">
        <f t="shared" si="153"/>
        <v>0</v>
      </c>
      <c r="AT219" s="20">
        <f t="shared" si="154"/>
        <v>0</v>
      </c>
      <c r="AU219" s="20">
        <f t="shared" si="155"/>
        <v>0</v>
      </c>
      <c r="AV219" s="20">
        <f t="shared" si="156"/>
        <v>0</v>
      </c>
      <c r="AW219" s="20">
        <f t="shared" si="157"/>
        <v>0</v>
      </c>
    </row>
    <row r="220" spans="13:49" hidden="1">
      <c r="M220" s="31"/>
      <c r="AL220" s="21">
        <v>0</v>
      </c>
      <c r="AM220" s="21">
        <v>0</v>
      </c>
      <c r="AO220" s="19">
        <v>16</v>
      </c>
      <c r="AP220" s="20">
        <f t="shared" si="150"/>
        <v>0</v>
      </c>
      <c r="AQ220" s="20">
        <f t="shared" si="151"/>
        <v>0</v>
      </c>
      <c r="AR220" s="20">
        <f t="shared" si="152"/>
        <v>0</v>
      </c>
      <c r="AS220" s="20">
        <f t="shared" si="153"/>
        <v>0</v>
      </c>
      <c r="AT220" s="20">
        <f t="shared" si="154"/>
        <v>0</v>
      </c>
      <c r="AU220" s="20">
        <f t="shared" si="155"/>
        <v>0</v>
      </c>
      <c r="AV220" s="20">
        <f t="shared" si="156"/>
        <v>0</v>
      </c>
      <c r="AW220" s="20">
        <f t="shared" si="157"/>
        <v>0</v>
      </c>
    </row>
    <row r="221" spans="13:49" hidden="1">
      <c r="M221" s="31"/>
      <c r="AL221" s="21">
        <v>0</v>
      </c>
      <c r="AM221" s="21">
        <v>0</v>
      </c>
      <c r="AO221" s="19">
        <v>17</v>
      </c>
      <c r="AP221" s="20">
        <f t="shared" si="150"/>
        <v>0</v>
      </c>
      <c r="AQ221" s="20">
        <f t="shared" si="151"/>
        <v>0</v>
      </c>
      <c r="AR221" s="20">
        <f t="shared" si="152"/>
        <v>0</v>
      </c>
      <c r="AS221" s="20">
        <f t="shared" si="153"/>
        <v>0</v>
      </c>
      <c r="AT221" s="20">
        <f t="shared" si="154"/>
        <v>0</v>
      </c>
      <c r="AU221" s="20">
        <f t="shared" si="155"/>
        <v>0</v>
      </c>
      <c r="AV221" s="20">
        <f t="shared" si="156"/>
        <v>0</v>
      </c>
      <c r="AW221" s="20">
        <f t="shared" si="157"/>
        <v>0</v>
      </c>
    </row>
    <row r="222" spans="13:49" hidden="1">
      <c r="M222" s="31"/>
      <c r="AL222" s="21">
        <v>0</v>
      </c>
      <c r="AM222" s="21">
        <v>0</v>
      </c>
      <c r="AO222" s="19">
        <v>18</v>
      </c>
      <c r="AP222" s="20">
        <f t="shared" si="150"/>
        <v>0</v>
      </c>
      <c r="AQ222" s="20">
        <f t="shared" si="151"/>
        <v>0</v>
      </c>
      <c r="AR222" s="20">
        <f t="shared" si="152"/>
        <v>0</v>
      </c>
      <c r="AS222" s="20">
        <f t="shared" si="153"/>
        <v>0</v>
      </c>
      <c r="AT222" s="20">
        <f t="shared" si="154"/>
        <v>0</v>
      </c>
      <c r="AU222" s="20">
        <f t="shared" si="155"/>
        <v>0</v>
      </c>
      <c r="AV222" s="20">
        <f t="shared" si="156"/>
        <v>0</v>
      </c>
      <c r="AW222" s="20">
        <f t="shared" ref="AW222:AW226" si="158">SUM(AP222:AV222)</f>
        <v>0</v>
      </c>
    </row>
    <row r="223" spans="13:49" hidden="1">
      <c r="M223" s="31"/>
      <c r="AL223" s="21">
        <v>0</v>
      </c>
      <c r="AM223" s="21">
        <v>0</v>
      </c>
      <c r="AO223" s="19">
        <v>19</v>
      </c>
      <c r="AP223" s="20">
        <f t="shared" si="150"/>
        <v>0</v>
      </c>
      <c r="AQ223" s="20">
        <f t="shared" si="151"/>
        <v>0</v>
      </c>
      <c r="AR223" s="20">
        <f t="shared" si="152"/>
        <v>0</v>
      </c>
      <c r="AS223" s="20">
        <f t="shared" si="153"/>
        <v>0</v>
      </c>
      <c r="AT223" s="20">
        <f t="shared" si="154"/>
        <v>0</v>
      </c>
      <c r="AU223" s="20">
        <f t="shared" si="155"/>
        <v>0</v>
      </c>
      <c r="AV223" s="20">
        <f t="shared" si="156"/>
        <v>0</v>
      </c>
      <c r="AW223" s="20">
        <f t="shared" si="158"/>
        <v>0</v>
      </c>
    </row>
    <row r="224" spans="13:49" hidden="1">
      <c r="M224" s="31"/>
      <c r="AL224" s="21">
        <v>0</v>
      </c>
      <c r="AM224" s="21">
        <v>0</v>
      </c>
      <c r="AO224" s="19">
        <v>20</v>
      </c>
      <c r="AP224" s="20">
        <f t="shared" si="150"/>
        <v>0</v>
      </c>
      <c r="AQ224" s="20">
        <f t="shared" si="151"/>
        <v>0</v>
      </c>
      <c r="AR224" s="20">
        <f t="shared" si="152"/>
        <v>0</v>
      </c>
      <c r="AS224" s="20">
        <f t="shared" si="153"/>
        <v>0</v>
      </c>
      <c r="AT224" s="20">
        <f t="shared" si="154"/>
        <v>0</v>
      </c>
      <c r="AU224" s="20">
        <f t="shared" si="155"/>
        <v>0</v>
      </c>
      <c r="AV224" s="20">
        <f t="shared" si="156"/>
        <v>0</v>
      </c>
      <c r="AW224" s="20">
        <f t="shared" si="158"/>
        <v>0</v>
      </c>
    </row>
    <row r="225" spans="13:49" hidden="1">
      <c r="M225" s="31"/>
      <c r="AL225" s="21">
        <v>0</v>
      </c>
      <c r="AM225" s="21">
        <v>0</v>
      </c>
      <c r="AO225" s="19">
        <v>21</v>
      </c>
      <c r="AP225" s="20">
        <f t="shared" si="150"/>
        <v>0</v>
      </c>
      <c r="AQ225" s="20">
        <f t="shared" si="151"/>
        <v>0</v>
      </c>
      <c r="AR225" s="20">
        <f t="shared" si="152"/>
        <v>0</v>
      </c>
      <c r="AS225" s="20">
        <f t="shared" si="153"/>
        <v>0</v>
      </c>
      <c r="AT225" s="20">
        <f t="shared" si="154"/>
        <v>0</v>
      </c>
      <c r="AU225" s="20">
        <f t="shared" si="155"/>
        <v>0</v>
      </c>
      <c r="AV225" s="20">
        <f t="shared" si="156"/>
        <v>0</v>
      </c>
      <c r="AW225" s="20">
        <f t="shared" si="158"/>
        <v>0</v>
      </c>
    </row>
    <row r="226" spans="13:49" hidden="1">
      <c r="M226" s="31"/>
      <c r="AL226" s="21">
        <v>0</v>
      </c>
      <c r="AM226" s="21">
        <v>0</v>
      </c>
      <c r="AO226" s="19">
        <v>22</v>
      </c>
      <c r="AP226" s="20">
        <f t="shared" si="150"/>
        <v>0</v>
      </c>
      <c r="AQ226" s="20">
        <f t="shared" si="151"/>
        <v>0</v>
      </c>
      <c r="AR226" s="20">
        <f t="shared" si="152"/>
        <v>0</v>
      </c>
      <c r="AS226" s="20">
        <f t="shared" si="153"/>
        <v>0</v>
      </c>
      <c r="AT226" s="20">
        <f t="shared" si="154"/>
        <v>0</v>
      </c>
      <c r="AU226" s="20">
        <f t="shared" si="155"/>
        <v>0</v>
      </c>
      <c r="AV226" s="20">
        <f t="shared" si="156"/>
        <v>0</v>
      </c>
      <c r="AW226" s="20">
        <f t="shared" si="158"/>
        <v>0</v>
      </c>
    </row>
    <row r="227" spans="13:49" hidden="1">
      <c r="M227" s="31"/>
      <c r="AL227" s="21">
        <v>0</v>
      </c>
      <c r="AM227" s="21">
        <v>0</v>
      </c>
      <c r="AO227" s="16" t="s">
        <v>7</v>
      </c>
      <c r="AP227" s="20">
        <f>SUM(AP211:AP221)</f>
        <v>0</v>
      </c>
      <c r="AQ227" s="20">
        <f t="shared" ref="AQ227" si="159">SUM(AQ211:AQ221)</f>
        <v>0</v>
      </c>
      <c r="AR227" s="20">
        <f t="shared" ref="AR227" si="160">SUM(AR211:AR221)</f>
        <v>0</v>
      </c>
      <c r="AS227" s="20">
        <f t="shared" ref="AS227" si="161">SUM(AS211:AS221)</f>
        <v>0</v>
      </c>
      <c r="AT227" s="20">
        <f t="shared" ref="AT227" si="162">SUM(AT211:AT221)</f>
        <v>0</v>
      </c>
      <c r="AU227" s="20">
        <f t="shared" ref="AU227" si="163">SUM(AU211:AU221)</f>
        <v>0</v>
      </c>
      <c r="AV227" s="20">
        <f t="shared" ref="AV227" si="164">SUM(AV211:AV221)</f>
        <v>0</v>
      </c>
      <c r="AW227" s="20">
        <f>SUM(AP227:AV227)</f>
        <v>0</v>
      </c>
    </row>
    <row r="228" spans="13:49" hidden="1">
      <c r="M228" s="31"/>
      <c r="AL228" s="21">
        <v>0</v>
      </c>
      <c r="AM228" s="21">
        <v>0</v>
      </c>
      <c r="AO228" s="21"/>
      <c r="AP228" s="21"/>
      <c r="AQ228" s="21"/>
      <c r="AR228" s="21"/>
      <c r="AS228" s="21"/>
      <c r="AT228" s="21"/>
      <c r="AU228" s="21"/>
      <c r="AV228" s="21"/>
      <c r="AW228" s="21"/>
    </row>
    <row r="229" spans="13:49" hidden="1">
      <c r="M229" s="31"/>
      <c r="AL229" s="21">
        <v>0</v>
      </c>
      <c r="AM229" s="21">
        <v>0</v>
      </c>
      <c r="AO229" s="15" t="str">
        <f>IF(ISBLANK(A14),"",A14)</f>
        <v/>
      </c>
      <c r="AP229" s="18" t="s">
        <v>1</v>
      </c>
      <c r="AQ229" s="18" t="s">
        <v>2</v>
      </c>
      <c r="AR229" s="18" t="s">
        <v>3</v>
      </c>
      <c r="AS229" s="18" t="s">
        <v>2</v>
      </c>
      <c r="AT229" s="18" t="s">
        <v>4</v>
      </c>
      <c r="AU229" s="18" t="s">
        <v>0</v>
      </c>
      <c r="AV229" s="18" t="s">
        <v>0</v>
      </c>
      <c r="AW229" s="16" t="s">
        <v>8</v>
      </c>
    </row>
    <row r="230" spans="13:49" hidden="1">
      <c r="M230" s="31"/>
      <c r="AL230" s="21">
        <v>0</v>
      </c>
      <c r="AM230" s="21">
        <v>0</v>
      </c>
      <c r="AO230" s="19">
        <v>7</v>
      </c>
      <c r="AP230" s="20">
        <f t="shared" ref="AP230:AP245" si="165">IF(AND($AO230&gt;=$T$14,$AO230&lt;$U$14),1,0)</f>
        <v>0</v>
      </c>
      <c r="AQ230" s="20">
        <f t="shared" ref="AQ230:AQ245" si="166">IF(AND($AO230&gt;=$V$14,$AO230&lt;$W$14),1,0)</f>
        <v>0</v>
      </c>
      <c r="AR230" s="20">
        <f t="shared" ref="AR230:AR245" si="167">IF(AND($AO230&gt;=$X$14,$AO230&lt;$Y$14),1,0)</f>
        <v>0</v>
      </c>
      <c r="AS230" s="20">
        <f t="shared" ref="AS230:AS245" si="168">IF(AND($AO230&gt;=$Z$14,$AO230&lt;$AA$14),1,0)</f>
        <v>0</v>
      </c>
      <c r="AT230" s="20">
        <f t="shared" ref="AT230:AT245" si="169">IF(AND($AO230&gt;=$AB$14,$AO230&lt;$AC$14),1,0)</f>
        <v>0</v>
      </c>
      <c r="AU230" s="20">
        <f t="shared" ref="AU230:AU245" si="170">IF(AND($AO230&gt;=$AD$14,$AO230&lt;$AE$14),1,0)</f>
        <v>0</v>
      </c>
      <c r="AV230" s="20">
        <f t="shared" ref="AV230:AV245" si="171">IF(AND($AO230&gt;=$AF$14,$AO230&lt;$AG$14),1,0)</f>
        <v>0</v>
      </c>
      <c r="AW230" s="20">
        <f>SUM(AP230:AV230)</f>
        <v>0</v>
      </c>
    </row>
    <row r="231" spans="13:49" hidden="1">
      <c r="M231" s="31"/>
      <c r="AL231" s="21">
        <v>0</v>
      </c>
      <c r="AM231" s="21">
        <v>0</v>
      </c>
      <c r="AO231" s="19">
        <v>8</v>
      </c>
      <c r="AP231" s="20">
        <f t="shared" si="165"/>
        <v>0</v>
      </c>
      <c r="AQ231" s="20">
        <f t="shared" si="166"/>
        <v>0</v>
      </c>
      <c r="AR231" s="20">
        <f t="shared" si="167"/>
        <v>0</v>
      </c>
      <c r="AS231" s="20">
        <f t="shared" si="168"/>
        <v>0</v>
      </c>
      <c r="AT231" s="20">
        <f t="shared" si="169"/>
        <v>0</v>
      </c>
      <c r="AU231" s="20">
        <f t="shared" si="170"/>
        <v>0</v>
      </c>
      <c r="AV231" s="20">
        <f t="shared" si="171"/>
        <v>0</v>
      </c>
      <c r="AW231" s="20">
        <f t="shared" ref="AW231:AW240" si="172">SUM(AP231:AV231)</f>
        <v>0</v>
      </c>
    </row>
    <row r="232" spans="13:49" hidden="1">
      <c r="M232" s="31"/>
      <c r="AL232" s="21">
        <v>0</v>
      </c>
      <c r="AM232" s="21">
        <v>0</v>
      </c>
      <c r="AO232" s="19">
        <v>9</v>
      </c>
      <c r="AP232" s="20">
        <f t="shared" si="165"/>
        <v>0</v>
      </c>
      <c r="AQ232" s="20">
        <f t="shared" si="166"/>
        <v>0</v>
      </c>
      <c r="AR232" s="20">
        <f t="shared" si="167"/>
        <v>0</v>
      </c>
      <c r="AS232" s="20">
        <f t="shared" si="168"/>
        <v>0</v>
      </c>
      <c r="AT232" s="20">
        <f t="shared" si="169"/>
        <v>0</v>
      </c>
      <c r="AU232" s="20">
        <f t="shared" si="170"/>
        <v>0</v>
      </c>
      <c r="AV232" s="20">
        <f t="shared" si="171"/>
        <v>0</v>
      </c>
      <c r="AW232" s="20">
        <f t="shared" si="172"/>
        <v>0</v>
      </c>
    </row>
    <row r="233" spans="13:49" hidden="1">
      <c r="M233" s="31"/>
      <c r="AL233" s="21">
        <v>0</v>
      </c>
      <c r="AM233" s="21">
        <v>0</v>
      </c>
      <c r="AO233" s="19">
        <v>10</v>
      </c>
      <c r="AP233" s="20">
        <f t="shared" si="165"/>
        <v>0</v>
      </c>
      <c r="AQ233" s="20">
        <f t="shared" si="166"/>
        <v>0</v>
      </c>
      <c r="AR233" s="20">
        <f t="shared" si="167"/>
        <v>0</v>
      </c>
      <c r="AS233" s="20">
        <f t="shared" si="168"/>
        <v>0</v>
      </c>
      <c r="AT233" s="20">
        <f t="shared" si="169"/>
        <v>0</v>
      </c>
      <c r="AU233" s="20">
        <f t="shared" si="170"/>
        <v>0</v>
      </c>
      <c r="AV233" s="20">
        <f t="shared" si="171"/>
        <v>0</v>
      </c>
      <c r="AW233" s="20">
        <f t="shared" si="172"/>
        <v>0</v>
      </c>
    </row>
    <row r="234" spans="13:49" hidden="1">
      <c r="M234" s="31"/>
      <c r="AL234" s="21">
        <v>0</v>
      </c>
      <c r="AM234" s="21">
        <v>0</v>
      </c>
      <c r="AO234" s="19">
        <v>11</v>
      </c>
      <c r="AP234" s="20">
        <f t="shared" si="165"/>
        <v>0</v>
      </c>
      <c r="AQ234" s="20">
        <f t="shared" si="166"/>
        <v>0</v>
      </c>
      <c r="AR234" s="20">
        <f t="shared" si="167"/>
        <v>0</v>
      </c>
      <c r="AS234" s="20">
        <f t="shared" si="168"/>
        <v>0</v>
      </c>
      <c r="AT234" s="20">
        <f t="shared" si="169"/>
        <v>0</v>
      </c>
      <c r="AU234" s="20">
        <f t="shared" si="170"/>
        <v>0</v>
      </c>
      <c r="AV234" s="20">
        <f t="shared" si="171"/>
        <v>0</v>
      </c>
      <c r="AW234" s="20">
        <f t="shared" si="172"/>
        <v>0</v>
      </c>
    </row>
    <row r="235" spans="13:49" hidden="1">
      <c r="M235" s="31"/>
      <c r="AL235" s="21">
        <v>0</v>
      </c>
      <c r="AM235" s="21">
        <v>0</v>
      </c>
      <c r="AO235" s="19">
        <v>12</v>
      </c>
      <c r="AP235" s="20">
        <f t="shared" si="165"/>
        <v>0</v>
      </c>
      <c r="AQ235" s="20">
        <f t="shared" si="166"/>
        <v>0</v>
      </c>
      <c r="AR235" s="20">
        <f t="shared" si="167"/>
        <v>0</v>
      </c>
      <c r="AS235" s="20">
        <f t="shared" si="168"/>
        <v>0</v>
      </c>
      <c r="AT235" s="20">
        <f t="shared" si="169"/>
        <v>0</v>
      </c>
      <c r="AU235" s="20">
        <f t="shared" si="170"/>
        <v>0</v>
      </c>
      <c r="AV235" s="20">
        <f t="shared" si="171"/>
        <v>0</v>
      </c>
      <c r="AW235" s="20">
        <f t="shared" si="172"/>
        <v>0</v>
      </c>
    </row>
    <row r="236" spans="13:49" hidden="1">
      <c r="M236" s="31"/>
      <c r="AL236" s="21">
        <v>0</v>
      </c>
      <c r="AM236" s="21">
        <v>0</v>
      </c>
      <c r="AO236" s="19">
        <v>13</v>
      </c>
      <c r="AP236" s="20">
        <f t="shared" si="165"/>
        <v>0</v>
      </c>
      <c r="AQ236" s="20">
        <f t="shared" si="166"/>
        <v>0</v>
      </c>
      <c r="AR236" s="20">
        <f t="shared" si="167"/>
        <v>0</v>
      </c>
      <c r="AS236" s="20">
        <f t="shared" si="168"/>
        <v>0</v>
      </c>
      <c r="AT236" s="20">
        <f t="shared" si="169"/>
        <v>0</v>
      </c>
      <c r="AU236" s="20">
        <f t="shared" si="170"/>
        <v>0</v>
      </c>
      <c r="AV236" s="20">
        <f t="shared" si="171"/>
        <v>0</v>
      </c>
      <c r="AW236" s="20">
        <f t="shared" si="172"/>
        <v>0</v>
      </c>
    </row>
    <row r="237" spans="13:49" hidden="1">
      <c r="M237" s="31"/>
      <c r="AL237" s="21">
        <v>0</v>
      </c>
      <c r="AM237" s="21">
        <v>0</v>
      </c>
      <c r="AO237" s="19">
        <v>14</v>
      </c>
      <c r="AP237" s="20">
        <f t="shared" si="165"/>
        <v>0</v>
      </c>
      <c r="AQ237" s="20">
        <f t="shared" si="166"/>
        <v>0</v>
      </c>
      <c r="AR237" s="20">
        <f t="shared" si="167"/>
        <v>0</v>
      </c>
      <c r="AS237" s="20">
        <f t="shared" si="168"/>
        <v>0</v>
      </c>
      <c r="AT237" s="20">
        <f t="shared" si="169"/>
        <v>0</v>
      </c>
      <c r="AU237" s="20">
        <f t="shared" si="170"/>
        <v>0</v>
      </c>
      <c r="AV237" s="20">
        <f t="shared" si="171"/>
        <v>0</v>
      </c>
      <c r="AW237" s="20">
        <f t="shared" si="172"/>
        <v>0</v>
      </c>
    </row>
    <row r="238" spans="13:49" hidden="1">
      <c r="M238" s="31"/>
      <c r="AL238" s="21">
        <v>0</v>
      </c>
      <c r="AM238" s="21">
        <v>0</v>
      </c>
      <c r="AO238" s="19">
        <v>15</v>
      </c>
      <c r="AP238" s="20">
        <f t="shared" si="165"/>
        <v>0</v>
      </c>
      <c r="AQ238" s="20">
        <f t="shared" si="166"/>
        <v>0</v>
      </c>
      <c r="AR238" s="20">
        <f t="shared" si="167"/>
        <v>0</v>
      </c>
      <c r="AS238" s="20">
        <f t="shared" si="168"/>
        <v>0</v>
      </c>
      <c r="AT238" s="20">
        <f t="shared" si="169"/>
        <v>0</v>
      </c>
      <c r="AU238" s="20">
        <f t="shared" si="170"/>
        <v>0</v>
      </c>
      <c r="AV238" s="20">
        <f t="shared" si="171"/>
        <v>0</v>
      </c>
      <c r="AW238" s="20">
        <f t="shared" si="172"/>
        <v>0</v>
      </c>
    </row>
    <row r="239" spans="13:49" hidden="1">
      <c r="M239" s="31"/>
      <c r="AL239" s="21">
        <v>0</v>
      </c>
      <c r="AM239" s="21">
        <v>0</v>
      </c>
      <c r="AO239" s="19">
        <v>16</v>
      </c>
      <c r="AP239" s="20">
        <f t="shared" si="165"/>
        <v>0</v>
      </c>
      <c r="AQ239" s="20">
        <f t="shared" si="166"/>
        <v>0</v>
      </c>
      <c r="AR239" s="20">
        <f t="shared" si="167"/>
        <v>0</v>
      </c>
      <c r="AS239" s="20">
        <f t="shared" si="168"/>
        <v>0</v>
      </c>
      <c r="AT239" s="20">
        <f t="shared" si="169"/>
        <v>0</v>
      </c>
      <c r="AU239" s="20">
        <f t="shared" si="170"/>
        <v>0</v>
      </c>
      <c r="AV239" s="20">
        <f t="shared" si="171"/>
        <v>0</v>
      </c>
      <c r="AW239" s="20">
        <f t="shared" si="172"/>
        <v>0</v>
      </c>
    </row>
    <row r="240" spans="13:49" hidden="1">
      <c r="M240" s="31"/>
      <c r="AL240" s="21">
        <v>0</v>
      </c>
      <c r="AM240" s="21">
        <v>0</v>
      </c>
      <c r="AO240" s="19">
        <v>17</v>
      </c>
      <c r="AP240" s="20">
        <f t="shared" si="165"/>
        <v>0</v>
      </c>
      <c r="AQ240" s="20">
        <f t="shared" si="166"/>
        <v>0</v>
      </c>
      <c r="AR240" s="20">
        <f t="shared" si="167"/>
        <v>0</v>
      </c>
      <c r="AS240" s="20">
        <f t="shared" si="168"/>
        <v>0</v>
      </c>
      <c r="AT240" s="20">
        <f t="shared" si="169"/>
        <v>0</v>
      </c>
      <c r="AU240" s="20">
        <f t="shared" si="170"/>
        <v>0</v>
      </c>
      <c r="AV240" s="20">
        <f t="shared" si="171"/>
        <v>0</v>
      </c>
      <c r="AW240" s="20">
        <f t="shared" si="172"/>
        <v>0</v>
      </c>
    </row>
    <row r="241" spans="13:49" hidden="1">
      <c r="M241" s="31"/>
      <c r="AL241" s="21">
        <v>0</v>
      </c>
      <c r="AM241" s="21">
        <v>0</v>
      </c>
      <c r="AO241" s="19">
        <v>18</v>
      </c>
      <c r="AP241" s="20">
        <f t="shared" si="165"/>
        <v>0</v>
      </c>
      <c r="AQ241" s="20">
        <f t="shared" si="166"/>
        <v>0</v>
      </c>
      <c r="AR241" s="20">
        <f t="shared" si="167"/>
        <v>0</v>
      </c>
      <c r="AS241" s="20">
        <f t="shared" si="168"/>
        <v>0</v>
      </c>
      <c r="AT241" s="20">
        <f t="shared" si="169"/>
        <v>0</v>
      </c>
      <c r="AU241" s="20">
        <f t="shared" si="170"/>
        <v>0</v>
      </c>
      <c r="AV241" s="20">
        <f t="shared" si="171"/>
        <v>0</v>
      </c>
      <c r="AW241" s="20">
        <f t="shared" ref="AW241:AW245" si="173">SUM(AP241:AV241)</f>
        <v>0</v>
      </c>
    </row>
    <row r="242" spans="13:49" hidden="1">
      <c r="M242" s="31"/>
      <c r="AL242" s="21">
        <v>0</v>
      </c>
      <c r="AM242" s="21">
        <v>0</v>
      </c>
      <c r="AO242" s="19">
        <v>19</v>
      </c>
      <c r="AP242" s="20">
        <f t="shared" si="165"/>
        <v>0</v>
      </c>
      <c r="AQ242" s="20">
        <f t="shared" si="166"/>
        <v>0</v>
      </c>
      <c r="AR242" s="20">
        <f t="shared" si="167"/>
        <v>0</v>
      </c>
      <c r="AS242" s="20">
        <f t="shared" si="168"/>
        <v>0</v>
      </c>
      <c r="AT242" s="20">
        <f t="shared" si="169"/>
        <v>0</v>
      </c>
      <c r="AU242" s="20">
        <f t="shared" si="170"/>
        <v>0</v>
      </c>
      <c r="AV242" s="20">
        <f t="shared" si="171"/>
        <v>0</v>
      </c>
      <c r="AW242" s="20">
        <f t="shared" si="173"/>
        <v>0</v>
      </c>
    </row>
    <row r="243" spans="13:49" hidden="1">
      <c r="M243" s="31"/>
      <c r="AL243" s="21">
        <v>0</v>
      </c>
      <c r="AM243" s="21">
        <v>0</v>
      </c>
      <c r="AO243" s="19">
        <v>20</v>
      </c>
      <c r="AP243" s="20">
        <f t="shared" si="165"/>
        <v>0</v>
      </c>
      <c r="AQ243" s="20">
        <f t="shared" si="166"/>
        <v>0</v>
      </c>
      <c r="AR243" s="20">
        <f t="shared" si="167"/>
        <v>0</v>
      </c>
      <c r="AS243" s="20">
        <f t="shared" si="168"/>
        <v>0</v>
      </c>
      <c r="AT243" s="20">
        <f t="shared" si="169"/>
        <v>0</v>
      </c>
      <c r="AU243" s="20">
        <f t="shared" si="170"/>
        <v>0</v>
      </c>
      <c r="AV243" s="20">
        <f t="shared" si="171"/>
        <v>0</v>
      </c>
      <c r="AW243" s="20">
        <f t="shared" si="173"/>
        <v>0</v>
      </c>
    </row>
    <row r="244" spans="13:49" hidden="1">
      <c r="M244" s="31"/>
      <c r="AL244" s="21">
        <v>0</v>
      </c>
      <c r="AM244" s="21">
        <v>0</v>
      </c>
      <c r="AO244" s="19">
        <v>21</v>
      </c>
      <c r="AP244" s="20">
        <f t="shared" si="165"/>
        <v>0</v>
      </c>
      <c r="AQ244" s="20">
        <f t="shared" si="166"/>
        <v>0</v>
      </c>
      <c r="AR244" s="20">
        <f t="shared" si="167"/>
        <v>0</v>
      </c>
      <c r="AS244" s="20">
        <f t="shared" si="168"/>
        <v>0</v>
      </c>
      <c r="AT244" s="20">
        <f t="shared" si="169"/>
        <v>0</v>
      </c>
      <c r="AU244" s="20">
        <f t="shared" si="170"/>
        <v>0</v>
      </c>
      <c r="AV244" s="20">
        <f t="shared" si="171"/>
        <v>0</v>
      </c>
      <c r="AW244" s="20">
        <f t="shared" si="173"/>
        <v>0</v>
      </c>
    </row>
    <row r="245" spans="13:49" hidden="1">
      <c r="M245" s="31"/>
      <c r="AL245" s="21">
        <v>0</v>
      </c>
      <c r="AM245" s="21">
        <v>0</v>
      </c>
      <c r="AO245" s="19">
        <v>22</v>
      </c>
      <c r="AP245" s="20">
        <f t="shared" si="165"/>
        <v>0</v>
      </c>
      <c r="AQ245" s="20">
        <f t="shared" si="166"/>
        <v>0</v>
      </c>
      <c r="AR245" s="20">
        <f t="shared" si="167"/>
        <v>0</v>
      </c>
      <c r="AS245" s="20">
        <f t="shared" si="168"/>
        <v>0</v>
      </c>
      <c r="AT245" s="20">
        <f t="shared" si="169"/>
        <v>0</v>
      </c>
      <c r="AU245" s="20">
        <f t="shared" si="170"/>
        <v>0</v>
      </c>
      <c r="AV245" s="20">
        <f t="shared" si="171"/>
        <v>0</v>
      </c>
      <c r="AW245" s="20">
        <f t="shared" si="173"/>
        <v>0</v>
      </c>
    </row>
    <row r="246" spans="13:49" hidden="1">
      <c r="M246" s="31"/>
      <c r="AL246" s="21">
        <v>0</v>
      </c>
      <c r="AM246" s="21">
        <v>0</v>
      </c>
      <c r="AO246" s="16" t="s">
        <v>7</v>
      </c>
      <c r="AP246" s="20">
        <f>SUM(AP230:AP240)</f>
        <v>0</v>
      </c>
      <c r="AQ246" s="20">
        <f t="shared" ref="AQ246" si="174">SUM(AQ230:AQ240)</f>
        <v>0</v>
      </c>
      <c r="AR246" s="20">
        <f t="shared" ref="AR246" si="175">SUM(AR230:AR240)</f>
        <v>0</v>
      </c>
      <c r="AS246" s="20">
        <f t="shared" ref="AS246" si="176">SUM(AS230:AS240)</f>
        <v>0</v>
      </c>
      <c r="AT246" s="20">
        <f t="shared" ref="AT246" si="177">SUM(AT230:AT240)</f>
        <v>0</v>
      </c>
      <c r="AU246" s="20">
        <f t="shared" ref="AU246" si="178">SUM(AU230:AU240)</f>
        <v>0</v>
      </c>
      <c r="AV246" s="20">
        <f t="shared" ref="AV246" si="179">SUM(AV230:AV240)</f>
        <v>0</v>
      </c>
      <c r="AW246" s="20">
        <f>SUM(AP246:AV246)</f>
        <v>0</v>
      </c>
    </row>
    <row r="247" spans="13:49" hidden="1">
      <c r="M247" s="31"/>
      <c r="AL247" s="21">
        <v>0</v>
      </c>
      <c r="AM247" s="21">
        <v>0</v>
      </c>
      <c r="AO247" s="21"/>
      <c r="AP247" s="21"/>
      <c r="AQ247" s="21"/>
      <c r="AR247" s="21"/>
      <c r="AS247" s="21"/>
      <c r="AT247" s="21"/>
      <c r="AU247" s="21"/>
      <c r="AV247" s="21"/>
      <c r="AW247" s="21"/>
    </row>
    <row r="248" spans="13:49" hidden="1">
      <c r="M248" s="31"/>
      <c r="AL248" s="21">
        <v>0</v>
      </c>
      <c r="AM248" s="21">
        <v>0</v>
      </c>
      <c r="AO248" s="15" t="str">
        <f>IF(ISBLANK(A15),"",A15)</f>
        <v/>
      </c>
      <c r="AP248" s="18" t="s">
        <v>1</v>
      </c>
      <c r="AQ248" s="18" t="s">
        <v>2</v>
      </c>
      <c r="AR248" s="18" t="s">
        <v>3</v>
      </c>
      <c r="AS248" s="18" t="s">
        <v>2</v>
      </c>
      <c r="AT248" s="18" t="s">
        <v>4</v>
      </c>
      <c r="AU248" s="18" t="s">
        <v>0</v>
      </c>
      <c r="AV248" s="18" t="s">
        <v>0</v>
      </c>
      <c r="AW248" s="16" t="s">
        <v>8</v>
      </c>
    </row>
    <row r="249" spans="13:49" hidden="1">
      <c r="M249" s="31"/>
      <c r="AL249" s="21">
        <v>0</v>
      </c>
      <c r="AM249" s="21">
        <v>0</v>
      </c>
      <c r="AO249" s="19">
        <v>7</v>
      </c>
      <c r="AP249" s="20">
        <f t="shared" ref="AP249:AP264" si="180">IF(AND($AO249&gt;=$T$15,$AO249&lt;$U$15),1,0)</f>
        <v>0</v>
      </c>
      <c r="AQ249" s="20">
        <f t="shared" ref="AQ249:AQ264" si="181">IF(AND($AO249&gt;=$V$15,$AO249&lt;$W$15),1,0)</f>
        <v>0</v>
      </c>
      <c r="AR249" s="20">
        <f t="shared" ref="AR249:AR264" si="182">IF(AND($AO249&gt;=$X$15,$AO249&lt;$Y$15),1,0)</f>
        <v>0</v>
      </c>
      <c r="AS249" s="20">
        <f t="shared" ref="AS249:AS264" si="183">IF(AND($AO249&gt;=$Z$15,$AO249&lt;$AA$15),1,0)</f>
        <v>0</v>
      </c>
      <c r="AT249" s="20">
        <f t="shared" ref="AT249:AT264" si="184">IF(AND($AO249&gt;=$AB$15,$AO249&lt;$AC$15),1,0)</f>
        <v>0</v>
      </c>
      <c r="AU249" s="20">
        <f t="shared" ref="AU249:AU264" si="185">IF(AND($AO249&gt;=$AD$15,$AO249&lt;$AE$15),1,0)</f>
        <v>0</v>
      </c>
      <c r="AV249" s="20">
        <f t="shared" ref="AV249:AV264" si="186">IF(AND($AO249&gt;=$AF$15,$AO249&lt;$AG$15),1,0)</f>
        <v>0</v>
      </c>
      <c r="AW249" s="20">
        <f>SUM(AP249:AV249)</f>
        <v>0</v>
      </c>
    </row>
    <row r="250" spans="13:49" hidden="1">
      <c r="M250" s="31"/>
      <c r="AL250" s="21">
        <v>0</v>
      </c>
      <c r="AM250" s="21">
        <v>0</v>
      </c>
      <c r="AO250" s="19">
        <v>8</v>
      </c>
      <c r="AP250" s="20">
        <f t="shared" si="180"/>
        <v>0</v>
      </c>
      <c r="AQ250" s="20">
        <f t="shared" si="181"/>
        <v>0</v>
      </c>
      <c r="AR250" s="20">
        <f t="shared" si="182"/>
        <v>0</v>
      </c>
      <c r="AS250" s="20">
        <f t="shared" si="183"/>
        <v>0</v>
      </c>
      <c r="AT250" s="20">
        <f t="shared" si="184"/>
        <v>0</v>
      </c>
      <c r="AU250" s="20">
        <f t="shared" si="185"/>
        <v>0</v>
      </c>
      <c r="AV250" s="20">
        <f t="shared" si="186"/>
        <v>0</v>
      </c>
      <c r="AW250" s="20">
        <f t="shared" ref="AW250:AW259" si="187">SUM(AP250:AV250)</f>
        <v>0</v>
      </c>
    </row>
    <row r="251" spans="13:49" hidden="1">
      <c r="M251" s="31"/>
      <c r="AL251" s="21">
        <v>0</v>
      </c>
      <c r="AM251" s="21">
        <v>0</v>
      </c>
      <c r="AO251" s="19">
        <v>9</v>
      </c>
      <c r="AP251" s="20">
        <f t="shared" si="180"/>
        <v>0</v>
      </c>
      <c r="AQ251" s="20">
        <f t="shared" si="181"/>
        <v>0</v>
      </c>
      <c r="AR251" s="20">
        <f t="shared" si="182"/>
        <v>0</v>
      </c>
      <c r="AS251" s="20">
        <f t="shared" si="183"/>
        <v>0</v>
      </c>
      <c r="AT251" s="20">
        <f t="shared" si="184"/>
        <v>0</v>
      </c>
      <c r="AU251" s="20">
        <f t="shared" si="185"/>
        <v>0</v>
      </c>
      <c r="AV251" s="20">
        <f t="shared" si="186"/>
        <v>0</v>
      </c>
      <c r="AW251" s="20">
        <f t="shared" si="187"/>
        <v>0</v>
      </c>
    </row>
    <row r="252" spans="13:49" hidden="1">
      <c r="M252" s="31"/>
      <c r="AL252" s="21">
        <v>0</v>
      </c>
      <c r="AM252" s="21">
        <v>0</v>
      </c>
      <c r="AO252" s="19">
        <v>10</v>
      </c>
      <c r="AP252" s="20">
        <f t="shared" si="180"/>
        <v>0</v>
      </c>
      <c r="AQ252" s="20">
        <f t="shared" si="181"/>
        <v>0</v>
      </c>
      <c r="AR252" s="20">
        <f t="shared" si="182"/>
        <v>0</v>
      </c>
      <c r="AS252" s="20">
        <f t="shared" si="183"/>
        <v>0</v>
      </c>
      <c r="AT252" s="20">
        <f t="shared" si="184"/>
        <v>0</v>
      </c>
      <c r="AU252" s="20">
        <f t="shared" si="185"/>
        <v>0</v>
      </c>
      <c r="AV252" s="20">
        <f t="shared" si="186"/>
        <v>0</v>
      </c>
      <c r="AW252" s="20">
        <f t="shared" si="187"/>
        <v>0</v>
      </c>
    </row>
    <row r="253" spans="13:49" hidden="1">
      <c r="M253" s="31"/>
      <c r="AL253" s="21">
        <v>0</v>
      </c>
      <c r="AM253" s="21">
        <v>0</v>
      </c>
      <c r="AO253" s="19">
        <v>11</v>
      </c>
      <c r="AP253" s="20">
        <f t="shared" si="180"/>
        <v>0</v>
      </c>
      <c r="AQ253" s="20">
        <f t="shared" si="181"/>
        <v>0</v>
      </c>
      <c r="AR253" s="20">
        <f t="shared" si="182"/>
        <v>0</v>
      </c>
      <c r="AS253" s="20">
        <f t="shared" si="183"/>
        <v>0</v>
      </c>
      <c r="AT253" s="20">
        <f t="shared" si="184"/>
        <v>0</v>
      </c>
      <c r="AU253" s="20">
        <f t="shared" si="185"/>
        <v>0</v>
      </c>
      <c r="AV253" s="20">
        <f t="shared" si="186"/>
        <v>0</v>
      </c>
      <c r="AW253" s="20">
        <f t="shared" si="187"/>
        <v>0</v>
      </c>
    </row>
    <row r="254" spans="13:49" hidden="1">
      <c r="M254" s="31"/>
      <c r="AL254" s="21">
        <v>0</v>
      </c>
      <c r="AM254" s="21">
        <v>0</v>
      </c>
      <c r="AO254" s="19">
        <v>12</v>
      </c>
      <c r="AP254" s="20">
        <f t="shared" si="180"/>
        <v>0</v>
      </c>
      <c r="AQ254" s="20">
        <f t="shared" si="181"/>
        <v>0</v>
      </c>
      <c r="AR254" s="20">
        <f t="shared" si="182"/>
        <v>0</v>
      </c>
      <c r="AS254" s="20">
        <f t="shared" si="183"/>
        <v>0</v>
      </c>
      <c r="AT254" s="20">
        <f t="shared" si="184"/>
        <v>0</v>
      </c>
      <c r="AU254" s="20">
        <f t="shared" si="185"/>
        <v>0</v>
      </c>
      <c r="AV254" s="20">
        <f t="shared" si="186"/>
        <v>0</v>
      </c>
      <c r="AW254" s="20">
        <f t="shared" si="187"/>
        <v>0</v>
      </c>
    </row>
    <row r="255" spans="13:49" hidden="1">
      <c r="M255" s="31"/>
      <c r="AL255" s="21">
        <v>0</v>
      </c>
      <c r="AM255" s="21">
        <v>0</v>
      </c>
      <c r="AO255" s="19">
        <v>13</v>
      </c>
      <c r="AP255" s="20">
        <f t="shared" si="180"/>
        <v>0</v>
      </c>
      <c r="AQ255" s="20">
        <f t="shared" si="181"/>
        <v>0</v>
      </c>
      <c r="AR255" s="20">
        <f t="shared" si="182"/>
        <v>0</v>
      </c>
      <c r="AS255" s="20">
        <f t="shared" si="183"/>
        <v>0</v>
      </c>
      <c r="AT255" s="20">
        <f t="shared" si="184"/>
        <v>0</v>
      </c>
      <c r="AU255" s="20">
        <f t="shared" si="185"/>
        <v>0</v>
      </c>
      <c r="AV255" s="20">
        <f t="shared" si="186"/>
        <v>0</v>
      </c>
      <c r="AW255" s="20">
        <f t="shared" si="187"/>
        <v>0</v>
      </c>
    </row>
    <row r="256" spans="13:49" hidden="1">
      <c r="M256" s="31"/>
      <c r="AL256" s="21">
        <v>0</v>
      </c>
      <c r="AM256" s="21">
        <v>0</v>
      </c>
      <c r="AO256" s="19">
        <v>14</v>
      </c>
      <c r="AP256" s="20">
        <f t="shared" si="180"/>
        <v>0</v>
      </c>
      <c r="AQ256" s="20">
        <f t="shared" si="181"/>
        <v>0</v>
      </c>
      <c r="AR256" s="20">
        <f t="shared" si="182"/>
        <v>0</v>
      </c>
      <c r="AS256" s="20">
        <f t="shared" si="183"/>
        <v>0</v>
      </c>
      <c r="AT256" s="20">
        <f t="shared" si="184"/>
        <v>0</v>
      </c>
      <c r="AU256" s="20">
        <f t="shared" si="185"/>
        <v>0</v>
      </c>
      <c r="AV256" s="20">
        <f t="shared" si="186"/>
        <v>0</v>
      </c>
      <c r="AW256" s="20">
        <f t="shared" si="187"/>
        <v>0</v>
      </c>
    </row>
    <row r="257" spans="13:49" hidden="1">
      <c r="M257" s="31"/>
      <c r="AL257" s="21">
        <v>0</v>
      </c>
      <c r="AM257" s="21">
        <v>0</v>
      </c>
      <c r="AO257" s="19">
        <v>15</v>
      </c>
      <c r="AP257" s="20">
        <f t="shared" si="180"/>
        <v>0</v>
      </c>
      <c r="AQ257" s="20">
        <f t="shared" si="181"/>
        <v>0</v>
      </c>
      <c r="AR257" s="20">
        <f t="shared" si="182"/>
        <v>0</v>
      </c>
      <c r="AS257" s="20">
        <f t="shared" si="183"/>
        <v>0</v>
      </c>
      <c r="AT257" s="20">
        <f t="shared" si="184"/>
        <v>0</v>
      </c>
      <c r="AU257" s="20">
        <f t="shared" si="185"/>
        <v>0</v>
      </c>
      <c r="AV257" s="20">
        <f t="shared" si="186"/>
        <v>0</v>
      </c>
      <c r="AW257" s="20">
        <f t="shared" si="187"/>
        <v>0</v>
      </c>
    </row>
    <row r="258" spans="13:49" hidden="1">
      <c r="M258" s="31"/>
      <c r="AL258" s="21">
        <v>0</v>
      </c>
      <c r="AM258" s="21">
        <v>0</v>
      </c>
      <c r="AO258" s="19">
        <v>16</v>
      </c>
      <c r="AP258" s="20">
        <f t="shared" si="180"/>
        <v>0</v>
      </c>
      <c r="AQ258" s="20">
        <f t="shared" si="181"/>
        <v>0</v>
      </c>
      <c r="AR258" s="20">
        <f t="shared" si="182"/>
        <v>0</v>
      </c>
      <c r="AS258" s="20">
        <f t="shared" si="183"/>
        <v>0</v>
      </c>
      <c r="AT258" s="20">
        <f t="shared" si="184"/>
        <v>0</v>
      </c>
      <c r="AU258" s="20">
        <f t="shared" si="185"/>
        <v>0</v>
      </c>
      <c r="AV258" s="20">
        <f t="shared" si="186"/>
        <v>0</v>
      </c>
      <c r="AW258" s="20">
        <f t="shared" si="187"/>
        <v>0</v>
      </c>
    </row>
    <row r="259" spans="13:49" hidden="1">
      <c r="M259" s="31"/>
      <c r="AL259" s="21">
        <v>0</v>
      </c>
      <c r="AM259" s="21">
        <v>0</v>
      </c>
      <c r="AO259" s="19">
        <v>17</v>
      </c>
      <c r="AP259" s="20">
        <f t="shared" si="180"/>
        <v>0</v>
      </c>
      <c r="AQ259" s="20">
        <f t="shared" si="181"/>
        <v>0</v>
      </c>
      <c r="AR259" s="20">
        <f t="shared" si="182"/>
        <v>0</v>
      </c>
      <c r="AS259" s="20">
        <f t="shared" si="183"/>
        <v>0</v>
      </c>
      <c r="AT259" s="20">
        <f t="shared" si="184"/>
        <v>0</v>
      </c>
      <c r="AU259" s="20">
        <f t="shared" si="185"/>
        <v>0</v>
      </c>
      <c r="AV259" s="20">
        <f t="shared" si="186"/>
        <v>0</v>
      </c>
      <c r="AW259" s="20">
        <f t="shared" si="187"/>
        <v>0</v>
      </c>
    </row>
    <row r="260" spans="13:49" hidden="1">
      <c r="M260" s="31"/>
      <c r="AL260" s="21">
        <v>0</v>
      </c>
      <c r="AM260" s="21">
        <v>0</v>
      </c>
      <c r="AO260" s="19">
        <v>18</v>
      </c>
      <c r="AP260" s="20">
        <f t="shared" si="180"/>
        <v>0</v>
      </c>
      <c r="AQ260" s="20">
        <f t="shared" si="181"/>
        <v>0</v>
      </c>
      <c r="AR260" s="20">
        <f t="shared" si="182"/>
        <v>0</v>
      </c>
      <c r="AS260" s="20">
        <f t="shared" si="183"/>
        <v>0</v>
      </c>
      <c r="AT260" s="20">
        <f t="shared" si="184"/>
        <v>0</v>
      </c>
      <c r="AU260" s="20">
        <f t="shared" si="185"/>
        <v>0</v>
      </c>
      <c r="AV260" s="20">
        <f t="shared" si="186"/>
        <v>0</v>
      </c>
      <c r="AW260" s="20">
        <f t="shared" ref="AW260:AW264" si="188">SUM(AP260:AV260)</f>
        <v>0</v>
      </c>
    </row>
    <row r="261" spans="13:49" hidden="1">
      <c r="M261" s="31"/>
      <c r="AL261" s="21">
        <v>0</v>
      </c>
      <c r="AM261" s="21">
        <v>0</v>
      </c>
      <c r="AO261" s="19">
        <v>19</v>
      </c>
      <c r="AP261" s="20">
        <f t="shared" si="180"/>
        <v>0</v>
      </c>
      <c r="AQ261" s="20">
        <f t="shared" si="181"/>
        <v>0</v>
      </c>
      <c r="AR261" s="20">
        <f t="shared" si="182"/>
        <v>0</v>
      </c>
      <c r="AS261" s="20">
        <f t="shared" si="183"/>
        <v>0</v>
      </c>
      <c r="AT261" s="20">
        <f t="shared" si="184"/>
        <v>0</v>
      </c>
      <c r="AU261" s="20">
        <f t="shared" si="185"/>
        <v>0</v>
      </c>
      <c r="AV261" s="20">
        <f t="shared" si="186"/>
        <v>0</v>
      </c>
      <c r="AW261" s="20">
        <f t="shared" si="188"/>
        <v>0</v>
      </c>
    </row>
    <row r="262" spans="13:49" hidden="1">
      <c r="M262" s="31"/>
      <c r="AL262" s="21">
        <v>0</v>
      </c>
      <c r="AM262" s="21">
        <v>0</v>
      </c>
      <c r="AO262" s="19">
        <v>20</v>
      </c>
      <c r="AP262" s="20">
        <f t="shared" si="180"/>
        <v>0</v>
      </c>
      <c r="AQ262" s="20">
        <f t="shared" si="181"/>
        <v>0</v>
      </c>
      <c r="AR262" s="20">
        <f t="shared" si="182"/>
        <v>0</v>
      </c>
      <c r="AS262" s="20">
        <f t="shared" si="183"/>
        <v>0</v>
      </c>
      <c r="AT262" s="20">
        <f t="shared" si="184"/>
        <v>0</v>
      </c>
      <c r="AU262" s="20">
        <f t="shared" si="185"/>
        <v>0</v>
      </c>
      <c r="AV262" s="20">
        <f t="shared" si="186"/>
        <v>0</v>
      </c>
      <c r="AW262" s="20">
        <f t="shared" si="188"/>
        <v>0</v>
      </c>
    </row>
    <row r="263" spans="13:49" hidden="1">
      <c r="M263" s="31"/>
      <c r="AL263" s="21">
        <v>0</v>
      </c>
      <c r="AM263" s="21">
        <v>0</v>
      </c>
      <c r="AO263" s="19">
        <v>21</v>
      </c>
      <c r="AP263" s="20">
        <f t="shared" si="180"/>
        <v>0</v>
      </c>
      <c r="AQ263" s="20">
        <f t="shared" si="181"/>
        <v>0</v>
      </c>
      <c r="AR263" s="20">
        <f t="shared" si="182"/>
        <v>0</v>
      </c>
      <c r="AS263" s="20">
        <f t="shared" si="183"/>
        <v>0</v>
      </c>
      <c r="AT263" s="20">
        <f t="shared" si="184"/>
        <v>0</v>
      </c>
      <c r="AU263" s="20">
        <f t="shared" si="185"/>
        <v>0</v>
      </c>
      <c r="AV263" s="20">
        <f t="shared" si="186"/>
        <v>0</v>
      </c>
      <c r="AW263" s="20">
        <f t="shared" si="188"/>
        <v>0</v>
      </c>
    </row>
    <row r="264" spans="13:49" hidden="1">
      <c r="M264" s="31"/>
      <c r="AL264" s="21">
        <v>0</v>
      </c>
      <c r="AM264" s="21">
        <v>0</v>
      </c>
      <c r="AO264" s="19">
        <v>22</v>
      </c>
      <c r="AP264" s="20">
        <f t="shared" si="180"/>
        <v>0</v>
      </c>
      <c r="AQ264" s="20">
        <f t="shared" si="181"/>
        <v>0</v>
      </c>
      <c r="AR264" s="20">
        <f t="shared" si="182"/>
        <v>0</v>
      </c>
      <c r="AS264" s="20">
        <f t="shared" si="183"/>
        <v>0</v>
      </c>
      <c r="AT264" s="20">
        <f t="shared" si="184"/>
        <v>0</v>
      </c>
      <c r="AU264" s="20">
        <f t="shared" si="185"/>
        <v>0</v>
      </c>
      <c r="AV264" s="20">
        <f t="shared" si="186"/>
        <v>0</v>
      </c>
      <c r="AW264" s="20">
        <f t="shared" si="188"/>
        <v>0</v>
      </c>
    </row>
    <row r="265" spans="13:49" hidden="1">
      <c r="M265" s="31"/>
      <c r="AL265" s="21">
        <v>0</v>
      </c>
      <c r="AM265" s="21">
        <v>0</v>
      </c>
      <c r="AO265" s="16" t="s">
        <v>7</v>
      </c>
      <c r="AP265" s="20">
        <f>SUM(AP249:AP259)</f>
        <v>0</v>
      </c>
      <c r="AQ265" s="20">
        <f t="shared" ref="AQ265" si="189">SUM(AQ249:AQ259)</f>
        <v>0</v>
      </c>
      <c r="AR265" s="20">
        <f t="shared" ref="AR265" si="190">SUM(AR249:AR259)</f>
        <v>0</v>
      </c>
      <c r="AS265" s="20">
        <f t="shared" ref="AS265" si="191">SUM(AS249:AS259)</f>
        <v>0</v>
      </c>
      <c r="AT265" s="20">
        <f t="shared" ref="AT265" si="192">SUM(AT249:AT259)</f>
        <v>0</v>
      </c>
      <c r="AU265" s="20">
        <f t="shared" ref="AU265" si="193">SUM(AU249:AU259)</f>
        <v>0</v>
      </c>
      <c r="AV265" s="20">
        <f t="shared" ref="AV265" si="194">SUM(AV249:AV259)</f>
        <v>0</v>
      </c>
      <c r="AW265" s="20">
        <f>SUM(AP265:AV265)</f>
        <v>0</v>
      </c>
    </row>
    <row r="266" spans="13:49" hidden="1">
      <c r="M266" s="31"/>
      <c r="AL266" s="21">
        <v>0</v>
      </c>
      <c r="AM266" s="21">
        <v>0</v>
      </c>
      <c r="AO266" s="21"/>
      <c r="AP266" s="21"/>
      <c r="AQ266" s="21"/>
      <c r="AR266" s="21"/>
      <c r="AS266" s="21"/>
      <c r="AT266" s="21"/>
      <c r="AU266" s="21"/>
      <c r="AV266" s="21"/>
      <c r="AW266" s="21"/>
    </row>
    <row r="267" spans="13:49" hidden="1">
      <c r="M267" s="31"/>
      <c r="AL267" s="21">
        <v>0</v>
      </c>
      <c r="AM267" s="21">
        <v>0</v>
      </c>
      <c r="AO267" s="15" t="str">
        <f>IF(ISBLANK(A16),"",A16)</f>
        <v/>
      </c>
      <c r="AP267" s="18" t="s">
        <v>1</v>
      </c>
      <c r="AQ267" s="18" t="s">
        <v>2</v>
      </c>
      <c r="AR267" s="18" t="s">
        <v>3</v>
      </c>
      <c r="AS267" s="18" t="s">
        <v>2</v>
      </c>
      <c r="AT267" s="18" t="s">
        <v>4</v>
      </c>
      <c r="AU267" s="18" t="s">
        <v>0</v>
      </c>
      <c r="AV267" s="18" t="s">
        <v>0</v>
      </c>
      <c r="AW267" s="16" t="s">
        <v>8</v>
      </c>
    </row>
    <row r="268" spans="13:49" hidden="1">
      <c r="M268" s="31"/>
      <c r="AL268" s="21">
        <v>0</v>
      </c>
      <c r="AM268" s="21">
        <v>0</v>
      </c>
      <c r="AO268" s="19">
        <v>7</v>
      </c>
      <c r="AP268" s="20">
        <f t="shared" ref="AP268:AP283" si="195">IF(AND($AO268&gt;=$T$16,$AO268&lt;$U$16),1,0)</f>
        <v>0</v>
      </c>
      <c r="AQ268" s="20">
        <f t="shared" ref="AQ268:AQ283" si="196">IF(AND($AO268&gt;=$V$16,$AO268&lt;$W$16),1,0)</f>
        <v>0</v>
      </c>
      <c r="AR268" s="20">
        <f t="shared" ref="AR268:AR283" si="197">IF(AND($AO268&gt;=$X$16,$AO268&lt;$Y$16),1,0)</f>
        <v>0</v>
      </c>
      <c r="AS268" s="20">
        <f t="shared" ref="AS268:AS283" si="198">IF(AND($AO268&gt;=$Z$16,$AO268&lt;$AA$16),1,0)</f>
        <v>0</v>
      </c>
      <c r="AT268" s="20">
        <f t="shared" ref="AT268:AT283" si="199">IF(AND($AO268&gt;=$AB$16,$AO268&lt;$AC$16),1,0)</f>
        <v>0</v>
      </c>
      <c r="AU268" s="20">
        <f t="shared" ref="AU268:AU283" si="200">IF(AND($AO268&gt;=$AD$16,$AO268&lt;$AE$16),1,0)</f>
        <v>0</v>
      </c>
      <c r="AV268" s="20">
        <f t="shared" ref="AV268:AV283" si="201">IF(AND($AO268&gt;=$AF$16,$AO268&lt;$AG$16),1,0)</f>
        <v>0</v>
      </c>
      <c r="AW268" s="20">
        <f>SUM(AP268:AV268)</f>
        <v>0</v>
      </c>
    </row>
    <row r="269" spans="13:49" hidden="1">
      <c r="M269" s="31"/>
      <c r="AL269" s="21">
        <v>0</v>
      </c>
      <c r="AM269" s="21">
        <v>0</v>
      </c>
      <c r="AO269" s="19">
        <v>8</v>
      </c>
      <c r="AP269" s="20">
        <f t="shared" si="195"/>
        <v>0</v>
      </c>
      <c r="AQ269" s="20">
        <f t="shared" si="196"/>
        <v>0</v>
      </c>
      <c r="AR269" s="20">
        <f t="shared" si="197"/>
        <v>0</v>
      </c>
      <c r="AS269" s="20">
        <f t="shared" si="198"/>
        <v>0</v>
      </c>
      <c r="AT269" s="20">
        <f t="shared" si="199"/>
        <v>0</v>
      </c>
      <c r="AU269" s="20">
        <f t="shared" si="200"/>
        <v>0</v>
      </c>
      <c r="AV269" s="20">
        <f t="shared" si="201"/>
        <v>0</v>
      </c>
      <c r="AW269" s="20">
        <f t="shared" ref="AW269:AW278" si="202">SUM(AP269:AV269)</f>
        <v>0</v>
      </c>
    </row>
    <row r="270" spans="13:49" hidden="1">
      <c r="M270" s="31"/>
      <c r="AL270" s="21">
        <v>0</v>
      </c>
      <c r="AM270" s="21">
        <v>0</v>
      </c>
      <c r="AO270" s="19">
        <v>9</v>
      </c>
      <c r="AP270" s="20">
        <f t="shared" si="195"/>
        <v>0</v>
      </c>
      <c r="AQ270" s="20">
        <f t="shared" si="196"/>
        <v>0</v>
      </c>
      <c r="AR270" s="20">
        <f t="shared" si="197"/>
        <v>0</v>
      </c>
      <c r="AS270" s="20">
        <f t="shared" si="198"/>
        <v>0</v>
      </c>
      <c r="AT270" s="20">
        <f t="shared" si="199"/>
        <v>0</v>
      </c>
      <c r="AU270" s="20">
        <f t="shared" si="200"/>
        <v>0</v>
      </c>
      <c r="AV270" s="20">
        <f t="shared" si="201"/>
        <v>0</v>
      </c>
      <c r="AW270" s="20">
        <f t="shared" si="202"/>
        <v>0</v>
      </c>
    </row>
    <row r="271" spans="13:49" hidden="1">
      <c r="M271" s="31"/>
      <c r="AL271" s="21">
        <v>0</v>
      </c>
      <c r="AM271" s="21">
        <v>0</v>
      </c>
      <c r="AO271" s="19">
        <v>10</v>
      </c>
      <c r="AP271" s="20">
        <f t="shared" si="195"/>
        <v>0</v>
      </c>
      <c r="AQ271" s="20">
        <f t="shared" si="196"/>
        <v>0</v>
      </c>
      <c r="AR271" s="20">
        <f t="shared" si="197"/>
        <v>0</v>
      </c>
      <c r="AS271" s="20">
        <f t="shared" si="198"/>
        <v>0</v>
      </c>
      <c r="AT271" s="20">
        <f t="shared" si="199"/>
        <v>0</v>
      </c>
      <c r="AU271" s="20">
        <f t="shared" si="200"/>
        <v>0</v>
      </c>
      <c r="AV271" s="20">
        <f t="shared" si="201"/>
        <v>0</v>
      </c>
      <c r="AW271" s="20">
        <f t="shared" si="202"/>
        <v>0</v>
      </c>
    </row>
    <row r="272" spans="13:49" hidden="1">
      <c r="M272" s="31"/>
      <c r="AL272" s="21">
        <v>0</v>
      </c>
      <c r="AM272" s="21">
        <v>0</v>
      </c>
      <c r="AO272" s="19">
        <v>11</v>
      </c>
      <c r="AP272" s="20">
        <f t="shared" si="195"/>
        <v>0</v>
      </c>
      <c r="AQ272" s="20">
        <f t="shared" si="196"/>
        <v>0</v>
      </c>
      <c r="AR272" s="20">
        <f t="shared" si="197"/>
        <v>0</v>
      </c>
      <c r="AS272" s="20">
        <f t="shared" si="198"/>
        <v>0</v>
      </c>
      <c r="AT272" s="20">
        <f t="shared" si="199"/>
        <v>0</v>
      </c>
      <c r="AU272" s="20">
        <f t="shared" si="200"/>
        <v>0</v>
      </c>
      <c r="AV272" s="20">
        <f t="shared" si="201"/>
        <v>0</v>
      </c>
      <c r="AW272" s="20">
        <f t="shared" si="202"/>
        <v>0</v>
      </c>
    </row>
    <row r="273" spans="13:49" hidden="1">
      <c r="M273" s="31"/>
      <c r="AL273" s="21">
        <v>0</v>
      </c>
      <c r="AM273" s="21">
        <v>0</v>
      </c>
      <c r="AO273" s="19">
        <v>12</v>
      </c>
      <c r="AP273" s="20">
        <f t="shared" si="195"/>
        <v>0</v>
      </c>
      <c r="AQ273" s="20">
        <f t="shared" si="196"/>
        <v>0</v>
      </c>
      <c r="AR273" s="20">
        <f t="shared" si="197"/>
        <v>0</v>
      </c>
      <c r="AS273" s="20">
        <f t="shared" si="198"/>
        <v>0</v>
      </c>
      <c r="AT273" s="20">
        <f t="shared" si="199"/>
        <v>0</v>
      </c>
      <c r="AU273" s="20">
        <f t="shared" si="200"/>
        <v>0</v>
      </c>
      <c r="AV273" s="20">
        <f t="shared" si="201"/>
        <v>0</v>
      </c>
      <c r="AW273" s="20">
        <f t="shared" si="202"/>
        <v>0</v>
      </c>
    </row>
    <row r="274" spans="13:49" hidden="1">
      <c r="M274" s="31"/>
      <c r="AL274" s="21">
        <v>0</v>
      </c>
      <c r="AM274" s="21">
        <v>0</v>
      </c>
      <c r="AO274" s="19">
        <v>13</v>
      </c>
      <c r="AP274" s="20">
        <f t="shared" si="195"/>
        <v>0</v>
      </c>
      <c r="AQ274" s="20">
        <f t="shared" si="196"/>
        <v>0</v>
      </c>
      <c r="AR274" s="20">
        <f t="shared" si="197"/>
        <v>0</v>
      </c>
      <c r="AS274" s="20">
        <f t="shared" si="198"/>
        <v>0</v>
      </c>
      <c r="AT274" s="20">
        <f t="shared" si="199"/>
        <v>0</v>
      </c>
      <c r="AU274" s="20">
        <f t="shared" si="200"/>
        <v>0</v>
      </c>
      <c r="AV274" s="20">
        <f t="shared" si="201"/>
        <v>0</v>
      </c>
      <c r="AW274" s="20">
        <f t="shared" si="202"/>
        <v>0</v>
      </c>
    </row>
    <row r="275" spans="13:49" hidden="1">
      <c r="M275" s="31"/>
      <c r="AL275" s="21">
        <v>0</v>
      </c>
      <c r="AM275" s="21">
        <v>0</v>
      </c>
      <c r="AO275" s="19">
        <v>14</v>
      </c>
      <c r="AP275" s="20">
        <f t="shared" si="195"/>
        <v>0</v>
      </c>
      <c r="AQ275" s="20">
        <f t="shared" si="196"/>
        <v>0</v>
      </c>
      <c r="AR275" s="20">
        <f t="shared" si="197"/>
        <v>0</v>
      </c>
      <c r="AS275" s="20">
        <f t="shared" si="198"/>
        <v>0</v>
      </c>
      <c r="AT275" s="20">
        <f t="shared" si="199"/>
        <v>0</v>
      </c>
      <c r="AU275" s="20">
        <f t="shared" si="200"/>
        <v>0</v>
      </c>
      <c r="AV275" s="20">
        <f t="shared" si="201"/>
        <v>0</v>
      </c>
      <c r="AW275" s="20">
        <f t="shared" si="202"/>
        <v>0</v>
      </c>
    </row>
    <row r="276" spans="13:49" hidden="1">
      <c r="M276" s="31"/>
      <c r="AL276" s="21">
        <v>0</v>
      </c>
      <c r="AM276" s="21">
        <v>0</v>
      </c>
      <c r="AO276" s="19">
        <v>15</v>
      </c>
      <c r="AP276" s="20">
        <f t="shared" si="195"/>
        <v>0</v>
      </c>
      <c r="AQ276" s="20">
        <f t="shared" si="196"/>
        <v>0</v>
      </c>
      <c r="AR276" s="20">
        <f t="shared" si="197"/>
        <v>0</v>
      </c>
      <c r="AS276" s="20">
        <f t="shared" si="198"/>
        <v>0</v>
      </c>
      <c r="AT276" s="20">
        <f t="shared" si="199"/>
        <v>0</v>
      </c>
      <c r="AU276" s="20">
        <f t="shared" si="200"/>
        <v>0</v>
      </c>
      <c r="AV276" s="20">
        <f t="shared" si="201"/>
        <v>0</v>
      </c>
      <c r="AW276" s="20">
        <f t="shared" si="202"/>
        <v>0</v>
      </c>
    </row>
    <row r="277" spans="13:49" hidden="1">
      <c r="M277" s="31"/>
      <c r="AL277" s="21">
        <v>0</v>
      </c>
      <c r="AM277" s="21">
        <v>0</v>
      </c>
      <c r="AO277" s="19">
        <v>16</v>
      </c>
      <c r="AP277" s="20">
        <f t="shared" si="195"/>
        <v>0</v>
      </c>
      <c r="AQ277" s="20">
        <f t="shared" si="196"/>
        <v>0</v>
      </c>
      <c r="AR277" s="20">
        <f t="shared" si="197"/>
        <v>0</v>
      </c>
      <c r="AS277" s="20">
        <f t="shared" si="198"/>
        <v>0</v>
      </c>
      <c r="AT277" s="20">
        <f t="shared" si="199"/>
        <v>0</v>
      </c>
      <c r="AU277" s="20">
        <f t="shared" si="200"/>
        <v>0</v>
      </c>
      <c r="AV277" s="20">
        <f t="shared" si="201"/>
        <v>0</v>
      </c>
      <c r="AW277" s="20">
        <f t="shared" si="202"/>
        <v>0</v>
      </c>
    </row>
    <row r="278" spans="13:49" hidden="1">
      <c r="M278" s="31"/>
      <c r="AL278" s="21">
        <v>0</v>
      </c>
      <c r="AM278" s="21">
        <v>0</v>
      </c>
      <c r="AO278" s="19">
        <v>17</v>
      </c>
      <c r="AP278" s="20">
        <f t="shared" si="195"/>
        <v>0</v>
      </c>
      <c r="AQ278" s="20">
        <f t="shared" si="196"/>
        <v>0</v>
      </c>
      <c r="AR278" s="20">
        <f t="shared" si="197"/>
        <v>0</v>
      </c>
      <c r="AS278" s="20">
        <f t="shared" si="198"/>
        <v>0</v>
      </c>
      <c r="AT278" s="20">
        <f t="shared" si="199"/>
        <v>0</v>
      </c>
      <c r="AU278" s="20">
        <f t="shared" si="200"/>
        <v>0</v>
      </c>
      <c r="AV278" s="20">
        <f t="shared" si="201"/>
        <v>0</v>
      </c>
      <c r="AW278" s="20">
        <f t="shared" si="202"/>
        <v>0</v>
      </c>
    </row>
    <row r="279" spans="13:49" hidden="1">
      <c r="M279" s="31"/>
      <c r="AL279" s="21">
        <v>0</v>
      </c>
      <c r="AM279" s="21">
        <v>0</v>
      </c>
      <c r="AO279" s="19">
        <v>18</v>
      </c>
      <c r="AP279" s="20">
        <f t="shared" si="195"/>
        <v>0</v>
      </c>
      <c r="AQ279" s="20">
        <f t="shared" si="196"/>
        <v>0</v>
      </c>
      <c r="AR279" s="20">
        <f t="shared" si="197"/>
        <v>0</v>
      </c>
      <c r="AS279" s="20">
        <f t="shared" si="198"/>
        <v>0</v>
      </c>
      <c r="AT279" s="20">
        <f t="shared" si="199"/>
        <v>0</v>
      </c>
      <c r="AU279" s="20">
        <f t="shared" si="200"/>
        <v>0</v>
      </c>
      <c r="AV279" s="20">
        <f t="shared" si="201"/>
        <v>0</v>
      </c>
      <c r="AW279" s="20">
        <f t="shared" ref="AW279:AW283" si="203">SUM(AP279:AV279)</f>
        <v>0</v>
      </c>
    </row>
    <row r="280" spans="13:49" hidden="1">
      <c r="M280" s="31"/>
      <c r="AL280" s="21">
        <v>0</v>
      </c>
      <c r="AM280" s="21">
        <v>0</v>
      </c>
      <c r="AO280" s="19">
        <v>19</v>
      </c>
      <c r="AP280" s="20">
        <f t="shared" si="195"/>
        <v>0</v>
      </c>
      <c r="AQ280" s="20">
        <f t="shared" si="196"/>
        <v>0</v>
      </c>
      <c r="AR280" s="20">
        <f t="shared" si="197"/>
        <v>0</v>
      </c>
      <c r="AS280" s="20">
        <f t="shared" si="198"/>
        <v>0</v>
      </c>
      <c r="AT280" s="20">
        <f t="shared" si="199"/>
        <v>0</v>
      </c>
      <c r="AU280" s="20">
        <f t="shared" si="200"/>
        <v>0</v>
      </c>
      <c r="AV280" s="20">
        <f t="shared" si="201"/>
        <v>0</v>
      </c>
      <c r="AW280" s="20">
        <f t="shared" si="203"/>
        <v>0</v>
      </c>
    </row>
    <row r="281" spans="13:49" hidden="1">
      <c r="M281" s="31"/>
      <c r="AL281" s="21">
        <v>0</v>
      </c>
      <c r="AM281" s="21">
        <v>0</v>
      </c>
      <c r="AO281" s="19">
        <v>20</v>
      </c>
      <c r="AP281" s="20">
        <f t="shared" si="195"/>
        <v>0</v>
      </c>
      <c r="AQ281" s="20">
        <f t="shared" si="196"/>
        <v>0</v>
      </c>
      <c r="AR281" s="20">
        <f t="shared" si="197"/>
        <v>0</v>
      </c>
      <c r="AS281" s="20">
        <f t="shared" si="198"/>
        <v>0</v>
      </c>
      <c r="AT281" s="20">
        <f t="shared" si="199"/>
        <v>0</v>
      </c>
      <c r="AU281" s="20">
        <f t="shared" si="200"/>
        <v>0</v>
      </c>
      <c r="AV281" s="20">
        <f t="shared" si="201"/>
        <v>0</v>
      </c>
      <c r="AW281" s="20">
        <f t="shared" si="203"/>
        <v>0</v>
      </c>
    </row>
    <row r="282" spans="13:49" hidden="1">
      <c r="M282" s="31"/>
      <c r="AL282" s="21">
        <v>0</v>
      </c>
      <c r="AM282" s="21">
        <v>0</v>
      </c>
      <c r="AO282" s="19">
        <v>21</v>
      </c>
      <c r="AP282" s="20">
        <f t="shared" si="195"/>
        <v>0</v>
      </c>
      <c r="AQ282" s="20">
        <f t="shared" si="196"/>
        <v>0</v>
      </c>
      <c r="AR282" s="20">
        <f t="shared" si="197"/>
        <v>0</v>
      </c>
      <c r="AS282" s="20">
        <f t="shared" si="198"/>
        <v>0</v>
      </c>
      <c r="AT282" s="20">
        <f t="shared" si="199"/>
        <v>0</v>
      </c>
      <c r="AU282" s="20">
        <f t="shared" si="200"/>
        <v>0</v>
      </c>
      <c r="AV282" s="20">
        <f t="shared" si="201"/>
        <v>0</v>
      </c>
      <c r="AW282" s="20">
        <f t="shared" si="203"/>
        <v>0</v>
      </c>
    </row>
    <row r="283" spans="13:49" ht="15" hidden="1" thickBot="1">
      <c r="M283" s="33"/>
      <c r="AL283" s="21" t="e">
        <v>#N/A</v>
      </c>
      <c r="AM283" s="21" t="e">
        <v>#N/A</v>
      </c>
      <c r="AO283" s="19">
        <v>22</v>
      </c>
      <c r="AP283" s="20">
        <f t="shared" si="195"/>
        <v>0</v>
      </c>
      <c r="AQ283" s="20">
        <f t="shared" si="196"/>
        <v>0</v>
      </c>
      <c r="AR283" s="20">
        <f t="shared" si="197"/>
        <v>0</v>
      </c>
      <c r="AS283" s="20">
        <f t="shared" si="198"/>
        <v>0</v>
      </c>
      <c r="AT283" s="20">
        <f t="shared" si="199"/>
        <v>0</v>
      </c>
      <c r="AU283" s="20">
        <f t="shared" si="200"/>
        <v>0</v>
      </c>
      <c r="AV283" s="20">
        <f t="shared" si="201"/>
        <v>0</v>
      </c>
      <c r="AW283" s="20">
        <f t="shared" si="203"/>
        <v>0</v>
      </c>
    </row>
    <row r="284" spans="13:49" hidden="1">
      <c r="AL284" s="21" t="e">
        <v>#N/A</v>
      </c>
      <c r="AM284" s="21" t="e">
        <v>#N/A</v>
      </c>
      <c r="AO284" s="16" t="s">
        <v>7</v>
      </c>
      <c r="AP284" s="20">
        <f t="shared" ref="AP284:AV284" si="204">SUM(AP268:AP278)</f>
        <v>0</v>
      </c>
      <c r="AQ284" s="20">
        <f t="shared" si="204"/>
        <v>0</v>
      </c>
      <c r="AR284" s="20">
        <f t="shared" si="204"/>
        <v>0</v>
      </c>
      <c r="AS284" s="20">
        <f t="shared" si="204"/>
        <v>0</v>
      </c>
      <c r="AT284" s="20">
        <f t="shared" si="204"/>
        <v>0</v>
      </c>
      <c r="AU284" s="20">
        <f t="shared" si="204"/>
        <v>0</v>
      </c>
      <c r="AV284" s="20">
        <f t="shared" si="204"/>
        <v>0</v>
      </c>
      <c r="AW284" s="20">
        <f>SUM(AP284:AV284)</f>
        <v>0</v>
      </c>
    </row>
  </sheetData>
  <sheetProtection algorithmName="SHA-512" hashValue="5uk1Kzg3QHpJG1Cp1Y2WtH9MevztIafXDb6qeHO71te/Pc9bbQoVTeYYUJ6/B7WZlUyyDXWMm9uhy5WjoEpQIQ==" saltValue="dY4VpaeJ1BdbkXkiiVYKrw==" spinCount="100000" sheet="1" selectLockedCells="1"/>
  <sortState ref="AL2:AM66">
    <sortCondition ref="AL2"/>
  </sortState>
  <mergeCells count="8">
    <mergeCell ref="K19:K20"/>
    <mergeCell ref="AF1:AG1"/>
    <mergeCell ref="T1:U1"/>
    <mergeCell ref="V1:W1"/>
    <mergeCell ref="X1:Y1"/>
    <mergeCell ref="Z1:AA1"/>
    <mergeCell ref="AB1:AC1"/>
    <mergeCell ref="AD1:AE1"/>
  </mergeCells>
  <conditionalFormatting sqref="B21:H3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8">
    <cfRule type="expression" dxfId="1" priority="4">
      <formula>$I$37&gt;$K$18</formula>
    </cfRule>
    <cfRule type="expression" dxfId="0" priority="5">
      <formula>$I$37&lt;$K$18</formula>
    </cfRule>
  </conditionalFormatting>
  <dataValidations count="2">
    <dataValidation type="list" allowBlank="1" showInputMessage="1" showErrorMessage="1" sqref="K11" xr:uid="{4EF2CF6F-39BA-429D-9F81-8140F8843F01}">
      <formula1>"Kitchen,Floor"</formula1>
    </dataValidation>
    <dataValidation type="list" allowBlank="1" showInputMessage="1" showErrorMessage="1" sqref="K8" xr:uid="{1F1C3B3A-4178-4659-ADE9-14CE1BF9F4F6}">
      <formula1>"Sitting Duck,Full Duck,Wilde's on the Bay"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autoPict="0" r:id="rId5">
            <anchor moveWithCells="1">
              <from>
                <xdr:col>10</xdr:col>
                <xdr:colOff>15240</xdr:colOff>
                <xdr:row>20</xdr:row>
                <xdr:rowOff>76200</xdr:rowOff>
              </from>
              <to>
                <xdr:col>11</xdr:col>
                <xdr:colOff>7620</xdr:colOff>
                <xdr:row>22</xdr:row>
                <xdr:rowOff>15240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autoPict="0" r:id="rId7">
            <anchor moveWithCells="1">
              <from>
                <xdr:col>10</xdr:col>
                <xdr:colOff>15240</xdr:colOff>
                <xdr:row>14</xdr:row>
                <xdr:rowOff>144780</xdr:rowOff>
              </from>
              <to>
                <xdr:col>11</xdr:col>
                <xdr:colOff>0</xdr:colOff>
                <xdr:row>16</xdr:row>
                <xdr:rowOff>83820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10</xdr:col>
                <xdr:colOff>38100</xdr:colOff>
                <xdr:row>3</xdr:row>
                <xdr:rowOff>106680</xdr:rowOff>
              </from>
              <to>
                <xdr:col>11</xdr:col>
                <xdr:colOff>7620</xdr:colOff>
                <xdr:row>5</xdr:row>
                <xdr:rowOff>45720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B3F7C-5DE2-4E38-8114-BEFD1E8F9D65}">
  <sheetPr codeName="Sheet3"/>
  <dimension ref="A1:Y100"/>
  <sheetViews>
    <sheetView workbookViewId="0">
      <selection activeCell="H9" sqref="H9"/>
    </sheetView>
  </sheetViews>
  <sheetFormatPr defaultColWidth="0" defaultRowHeight="14.4" zeroHeight="1"/>
  <cols>
    <col min="1" max="1" width="19.77734375" customWidth="1"/>
    <col min="2" max="8" width="13.77734375" customWidth="1"/>
    <col min="9" max="17" width="8.88671875" hidden="1" customWidth="1"/>
    <col min="18" max="18" width="12.109375" hidden="1" customWidth="1"/>
    <col min="19" max="25" width="0" hidden="1" customWidth="1"/>
    <col min="26" max="16384" width="8.88671875" hidden="1"/>
  </cols>
  <sheetData>
    <row r="1" spans="1:8">
      <c r="A1" s="10" t="s">
        <v>85</v>
      </c>
      <c r="B1" s="47" t="str">
        <f>MAIN!K8</f>
        <v>Sitting Duck</v>
      </c>
      <c r="C1" s="47"/>
      <c r="D1" s="47"/>
      <c r="E1" s="48" t="s">
        <v>86</v>
      </c>
      <c r="F1" s="48"/>
      <c r="G1" s="49" t="str">
        <f>MAIN!K11</f>
        <v>Floor</v>
      </c>
      <c r="H1" s="50"/>
    </row>
    <row r="2" spans="1:8">
      <c r="A2" s="10" t="s">
        <v>83</v>
      </c>
      <c r="B2" s="13">
        <f>MAIN!K14</f>
        <v>43360</v>
      </c>
      <c r="C2" s="13">
        <f>IF(ISBLANK($B$2),"",$B$2+1)</f>
        <v>43361</v>
      </c>
      <c r="D2" s="13">
        <f>IF(ISBLANK($B$2),"",$B$2+2)</f>
        <v>43362</v>
      </c>
      <c r="E2" s="13">
        <f>IF(ISBLANK($B$2),"",$B$2+3)</f>
        <v>43363</v>
      </c>
      <c r="F2" s="13">
        <f>IF(ISBLANK($B$2),"",$B$2+4)</f>
        <v>43364</v>
      </c>
      <c r="G2" s="13">
        <f>IF(ISBLANK($B$2),"",$B$2+5)</f>
        <v>43365</v>
      </c>
      <c r="H2" s="13">
        <f>IF(ISBLANK($B$2),"",$B$2+6)</f>
        <v>43366</v>
      </c>
    </row>
    <row r="3" spans="1:8" ht="32.4" customHeight="1">
      <c r="A3" s="10" t="s">
        <v>84</v>
      </c>
      <c r="B3" s="12" t="s">
        <v>73</v>
      </c>
      <c r="C3" s="12" t="s">
        <v>74</v>
      </c>
      <c r="D3" s="12" t="s">
        <v>75</v>
      </c>
      <c r="E3" s="12" t="s">
        <v>76</v>
      </c>
      <c r="F3" s="12" t="s">
        <v>77</v>
      </c>
      <c r="G3" s="12" t="s">
        <v>78</v>
      </c>
      <c r="H3" s="12" t="s">
        <v>79</v>
      </c>
    </row>
    <row r="4" spans="1:8" ht="30" customHeight="1">
      <c r="A4" s="11" t="str">
        <f>IF(ISBLANK(MAIN!A2),"",MAIN!A2)</f>
        <v>Aura</v>
      </c>
      <c r="B4" s="8" t="s">
        <v>117</v>
      </c>
      <c r="C4" s="8" t="s">
        <v>117</v>
      </c>
      <c r="D4" s="8" t="s">
        <v>117</v>
      </c>
      <c r="E4" s="8" t="s">
        <v>117</v>
      </c>
      <c r="F4" s="8" t="s">
        <v>117</v>
      </c>
      <c r="G4" s="8"/>
      <c r="H4" s="8"/>
    </row>
    <row r="5" spans="1:8" ht="30" customHeight="1">
      <c r="A5" s="11" t="str">
        <f>IF(ISBLANK(MAIN!A3),"",MAIN!A3)</f>
        <v>Andrew</v>
      </c>
      <c r="B5" s="8" t="s">
        <v>118</v>
      </c>
      <c r="C5" s="8" t="s">
        <v>118</v>
      </c>
      <c r="D5" s="8" t="s">
        <v>118</v>
      </c>
      <c r="E5" s="8"/>
      <c r="F5" s="8"/>
      <c r="G5" s="8" t="s">
        <v>119</v>
      </c>
      <c r="H5" s="8" t="s">
        <v>120</v>
      </c>
    </row>
    <row r="6" spans="1:8" ht="30" customHeight="1">
      <c r="A6" s="11" t="str">
        <f>IF(ISBLANK(MAIN!A4),"",MAIN!A4)</f>
        <v>ingrida</v>
      </c>
      <c r="B6" s="8" t="s">
        <v>104</v>
      </c>
      <c r="C6" s="8" t="s">
        <v>104</v>
      </c>
      <c r="D6" s="8" t="s">
        <v>104</v>
      </c>
      <c r="E6" s="8" t="s">
        <v>104</v>
      </c>
      <c r="F6" s="8" t="s">
        <v>104</v>
      </c>
      <c r="G6" s="8"/>
      <c r="H6" s="8"/>
    </row>
    <row r="7" spans="1:8" ht="30" customHeight="1">
      <c r="A7" s="11" t="str">
        <f>IF(ISBLANK(MAIN!A5),"",MAIN!A5)</f>
        <v>brian</v>
      </c>
      <c r="B7" s="8"/>
      <c r="C7" s="8"/>
      <c r="D7" s="8"/>
      <c r="E7" s="8" t="s">
        <v>87</v>
      </c>
      <c r="F7" s="8" t="s">
        <v>87</v>
      </c>
      <c r="G7" s="8" t="s">
        <v>87</v>
      </c>
      <c r="H7" s="8" t="s">
        <v>121</v>
      </c>
    </row>
    <row r="8" spans="1:8" ht="30" customHeight="1">
      <c r="A8" s="11" t="str">
        <f>IF(ISBLANK(MAIN!A6),"",MAIN!A6)</f>
        <v>gemma</v>
      </c>
      <c r="B8" s="8"/>
      <c r="C8" s="8"/>
      <c r="D8" s="8"/>
      <c r="E8" s="8"/>
      <c r="F8" s="8"/>
      <c r="G8" s="8" t="s">
        <v>104</v>
      </c>
      <c r="H8" s="8" t="s">
        <v>118</v>
      </c>
    </row>
    <row r="9" spans="1:8" ht="30" customHeight="1">
      <c r="A9" s="11" t="str">
        <f>IF(ISBLANK(MAIN!A7),"",MAIN!A7)</f>
        <v/>
      </c>
      <c r="B9" s="8"/>
      <c r="C9" s="8"/>
      <c r="D9" s="8"/>
      <c r="E9" s="8"/>
      <c r="F9" s="8"/>
      <c r="G9" s="8"/>
      <c r="H9" s="8"/>
    </row>
    <row r="10" spans="1:8" ht="30" customHeight="1">
      <c r="A10" s="11" t="str">
        <f>IF(ISBLANK(MAIN!A8),"",MAIN!A8)</f>
        <v/>
      </c>
      <c r="B10" s="8"/>
      <c r="C10" s="8"/>
      <c r="D10" s="8"/>
      <c r="E10" s="8"/>
      <c r="F10" s="8"/>
      <c r="G10" s="8"/>
      <c r="H10" s="8"/>
    </row>
    <row r="11" spans="1:8" ht="30" customHeight="1">
      <c r="A11" s="11" t="str">
        <f>IF(ISBLANK(MAIN!A9),"",MAIN!A9)</f>
        <v/>
      </c>
      <c r="B11" s="8"/>
      <c r="C11" s="8"/>
      <c r="D11" s="8"/>
      <c r="E11" s="8"/>
      <c r="F11" s="8"/>
      <c r="G11" s="8"/>
      <c r="H11" s="8"/>
    </row>
    <row r="12" spans="1:8" ht="30" customHeight="1">
      <c r="A12" s="11" t="str">
        <f>IF(ISBLANK(MAIN!A10),"",MAIN!A10)</f>
        <v/>
      </c>
      <c r="B12" s="8"/>
      <c r="C12" s="8"/>
      <c r="D12" s="8"/>
      <c r="E12" s="8"/>
      <c r="F12" s="8"/>
      <c r="G12" s="8"/>
      <c r="H12" s="8"/>
    </row>
    <row r="13" spans="1:8" ht="30" customHeight="1">
      <c r="A13" s="11" t="str">
        <f>IF(ISBLANK(MAIN!A11),"",MAIN!A11)</f>
        <v/>
      </c>
      <c r="B13" s="8"/>
      <c r="C13" s="8"/>
      <c r="D13" s="8"/>
      <c r="E13" s="8"/>
      <c r="F13" s="8"/>
      <c r="G13" s="8"/>
      <c r="H13" s="8"/>
    </row>
    <row r="14" spans="1:8" ht="30" customHeight="1">
      <c r="A14" s="11" t="str">
        <f>IF(ISBLANK(MAIN!A12),"",MAIN!A12)</f>
        <v/>
      </c>
      <c r="B14" s="8"/>
      <c r="C14" s="8"/>
      <c r="D14" s="8"/>
      <c r="E14" s="8"/>
      <c r="F14" s="8"/>
      <c r="G14" s="8"/>
      <c r="H14" s="8"/>
    </row>
    <row r="15" spans="1:8" ht="30" customHeight="1">
      <c r="A15" s="11" t="str">
        <f>IF(ISBLANK(MAIN!A13),"",MAIN!A13)</f>
        <v/>
      </c>
      <c r="B15" s="8"/>
      <c r="C15" s="8"/>
      <c r="D15" s="8"/>
      <c r="E15" s="8"/>
      <c r="F15" s="8"/>
      <c r="G15" s="8"/>
      <c r="H15" s="8"/>
    </row>
    <row r="16" spans="1:8" ht="30" customHeight="1">
      <c r="A16" s="11" t="str">
        <f>IF(ISBLANK(MAIN!A14),"",MAIN!A14)</f>
        <v/>
      </c>
      <c r="B16" s="8"/>
      <c r="C16" s="8"/>
      <c r="D16" s="8"/>
      <c r="E16" s="8"/>
      <c r="F16" s="8"/>
      <c r="G16" s="8"/>
      <c r="H16" s="8"/>
    </row>
    <row r="17" spans="1:8" ht="30" customHeight="1">
      <c r="A17" s="11" t="str">
        <f>IF(ISBLANK(MAIN!A15),"",MAIN!A15)</f>
        <v/>
      </c>
      <c r="B17" s="8"/>
      <c r="C17" s="8"/>
      <c r="D17" s="8"/>
      <c r="E17" s="8"/>
      <c r="F17" s="8"/>
      <c r="G17" s="8"/>
      <c r="H17" s="8"/>
    </row>
    <row r="18" spans="1:8" ht="30" customHeight="1">
      <c r="A18" s="11" t="str">
        <f>IF(ISBLANK(MAIN!A16),"",MAIN!A16)</f>
        <v/>
      </c>
      <c r="B18" s="8"/>
      <c r="C18" s="8"/>
      <c r="D18" s="8"/>
      <c r="E18" s="8"/>
      <c r="F18" s="8"/>
      <c r="G18" s="8"/>
      <c r="H18" s="8"/>
    </row>
    <row r="19" spans="1:8" hidden="1"/>
    <row r="20" spans="1:8" hidden="1"/>
    <row r="21" spans="1:8" hidden="1"/>
    <row r="22" spans="1:8" hidden="1"/>
    <row r="23" spans="1:8" hidden="1"/>
    <row r="24" spans="1:8" hidden="1"/>
    <row r="25" spans="1:8" hidden="1"/>
    <row r="26" spans="1:8" hidden="1"/>
    <row r="27" spans="1:8" hidden="1"/>
    <row r="28" spans="1:8" hidden="1"/>
    <row r="29" spans="1:8" hidden="1"/>
    <row r="30" spans="1:8" hidden="1"/>
    <row r="31" spans="1:8" hidden="1"/>
    <row r="32" spans="1:8" hidden="1"/>
    <row r="33" spans="18:25" hidden="1"/>
    <row r="34" spans="18:25" hidden="1"/>
    <row r="35" spans="18:25" hidden="1"/>
    <row r="36" spans="18:25" hidden="1"/>
    <row r="37" spans="18:25" hidden="1"/>
    <row r="38" spans="18:25" hidden="1"/>
    <row r="39" spans="18:25" hidden="1"/>
    <row r="40" spans="18:25" hidden="1"/>
    <row r="41" spans="18:25" hidden="1"/>
    <row r="42" spans="18:25" hidden="1"/>
    <row r="43" spans="18:25" hidden="1"/>
    <row r="44" spans="18:25" hidden="1"/>
    <row r="45" spans="18:25" hidden="1">
      <c r="R45">
        <v>1</v>
      </c>
      <c r="S45" s="9">
        <v>43101</v>
      </c>
      <c r="T45" s="9">
        <v>43102</v>
      </c>
      <c r="U45" s="9">
        <v>43103</v>
      </c>
      <c r="V45" s="9">
        <v>43104</v>
      </c>
      <c r="W45" s="9">
        <v>43105</v>
      </c>
      <c r="X45" s="9">
        <v>43106</v>
      </c>
      <c r="Y45" s="9">
        <v>43107</v>
      </c>
    </row>
    <row r="46" spans="18:25" hidden="1">
      <c r="R46">
        <v>2</v>
      </c>
      <c r="S46" s="9">
        <v>43108</v>
      </c>
      <c r="T46" s="9">
        <v>43109</v>
      </c>
      <c r="U46" s="9">
        <v>43110</v>
      </c>
      <c r="V46" s="9">
        <v>43111</v>
      </c>
      <c r="W46" s="9">
        <v>43112</v>
      </c>
      <c r="X46" s="9">
        <v>43113</v>
      </c>
      <c r="Y46" s="9">
        <v>43114</v>
      </c>
    </row>
    <row r="47" spans="18:25" hidden="1">
      <c r="R47">
        <v>3</v>
      </c>
      <c r="S47" s="9">
        <v>43115</v>
      </c>
      <c r="T47" s="9">
        <v>43116</v>
      </c>
      <c r="U47" s="9">
        <v>43117</v>
      </c>
      <c r="V47" s="9">
        <v>43118</v>
      </c>
      <c r="W47" s="9">
        <v>43119</v>
      </c>
      <c r="X47" s="9">
        <v>43120</v>
      </c>
      <c r="Y47" s="9">
        <v>43121</v>
      </c>
    </row>
    <row r="48" spans="18:25" hidden="1">
      <c r="R48">
        <v>4</v>
      </c>
      <c r="S48" s="9">
        <v>43122</v>
      </c>
      <c r="T48" s="9">
        <v>43123</v>
      </c>
      <c r="U48" s="9">
        <v>43124</v>
      </c>
      <c r="V48" s="9">
        <v>43125</v>
      </c>
      <c r="W48" s="9">
        <v>43126</v>
      </c>
      <c r="X48" s="9">
        <v>43127</v>
      </c>
      <c r="Y48" s="9">
        <v>43128</v>
      </c>
    </row>
    <row r="49" spans="18:25" hidden="1">
      <c r="R49">
        <v>5</v>
      </c>
      <c r="S49" s="9">
        <v>43129</v>
      </c>
      <c r="T49" s="9">
        <v>43130</v>
      </c>
      <c r="U49" s="9">
        <v>43131</v>
      </c>
      <c r="V49" s="9">
        <v>43132</v>
      </c>
      <c r="W49" s="9">
        <v>43133</v>
      </c>
      <c r="X49" s="9">
        <v>43134</v>
      </c>
      <c r="Y49" s="9">
        <v>43135</v>
      </c>
    </row>
    <row r="50" spans="18:25" hidden="1">
      <c r="R50">
        <v>6</v>
      </c>
      <c r="S50" s="9">
        <v>43136</v>
      </c>
      <c r="T50" s="9">
        <v>43137</v>
      </c>
      <c r="U50" s="9">
        <v>43138</v>
      </c>
      <c r="V50" s="9">
        <v>43139</v>
      </c>
      <c r="W50" s="9">
        <v>43140</v>
      </c>
      <c r="X50" s="9">
        <v>43141</v>
      </c>
      <c r="Y50" s="9">
        <v>43142</v>
      </c>
    </row>
    <row r="51" spans="18:25" hidden="1">
      <c r="R51">
        <v>7</v>
      </c>
      <c r="S51" s="9">
        <v>43143</v>
      </c>
      <c r="T51" s="9">
        <v>43144</v>
      </c>
      <c r="U51" s="9">
        <v>43145</v>
      </c>
      <c r="V51" s="9">
        <v>43146</v>
      </c>
      <c r="W51" s="9">
        <v>43147</v>
      </c>
      <c r="X51" s="9">
        <v>43148</v>
      </c>
      <c r="Y51" s="9">
        <v>43149</v>
      </c>
    </row>
    <row r="52" spans="18:25" hidden="1">
      <c r="R52">
        <v>8</v>
      </c>
      <c r="S52" s="9">
        <v>43150</v>
      </c>
      <c r="T52" s="9">
        <v>43151</v>
      </c>
      <c r="U52" s="9">
        <v>43152</v>
      </c>
      <c r="V52" s="9">
        <v>43153</v>
      </c>
      <c r="W52" s="9">
        <v>43154</v>
      </c>
      <c r="X52" s="9">
        <v>43155</v>
      </c>
      <c r="Y52" s="9">
        <v>43156</v>
      </c>
    </row>
    <row r="53" spans="18:25" hidden="1">
      <c r="R53">
        <v>9</v>
      </c>
      <c r="S53" s="9">
        <v>43157</v>
      </c>
      <c r="T53" s="9">
        <v>43158</v>
      </c>
      <c r="U53" s="9">
        <v>43159</v>
      </c>
      <c r="V53" s="9">
        <v>43160</v>
      </c>
      <c r="W53" s="9">
        <v>43161</v>
      </c>
      <c r="X53" s="9">
        <v>43162</v>
      </c>
      <c r="Y53" s="9">
        <v>43163</v>
      </c>
    </row>
    <row r="54" spans="18:25" hidden="1">
      <c r="R54">
        <v>10</v>
      </c>
      <c r="S54" s="9">
        <v>43164</v>
      </c>
      <c r="T54" s="9">
        <v>43165</v>
      </c>
      <c r="U54" s="9">
        <v>43166</v>
      </c>
      <c r="V54" s="9">
        <v>43167</v>
      </c>
      <c r="W54" s="9">
        <v>43168</v>
      </c>
      <c r="X54" s="9">
        <v>43169</v>
      </c>
      <c r="Y54" s="9">
        <v>43170</v>
      </c>
    </row>
    <row r="55" spans="18:25" hidden="1">
      <c r="R55">
        <v>11</v>
      </c>
      <c r="S55" s="9">
        <v>43171</v>
      </c>
      <c r="T55" s="9">
        <v>43172</v>
      </c>
      <c r="U55" s="9">
        <v>43173</v>
      </c>
      <c r="V55" s="9">
        <v>43174</v>
      </c>
      <c r="W55" s="9">
        <v>43175</v>
      </c>
      <c r="X55" s="9">
        <v>43176</v>
      </c>
      <c r="Y55" s="9">
        <v>43177</v>
      </c>
    </row>
    <row r="56" spans="18:25" hidden="1">
      <c r="R56">
        <v>12</v>
      </c>
      <c r="S56" s="9">
        <v>43178</v>
      </c>
      <c r="T56" s="9">
        <v>43179</v>
      </c>
      <c r="U56" s="9">
        <v>43180</v>
      </c>
      <c r="V56" s="9">
        <v>43181</v>
      </c>
      <c r="W56" s="9">
        <v>43182</v>
      </c>
      <c r="X56" s="9">
        <v>43183</v>
      </c>
      <c r="Y56" s="9">
        <v>43184</v>
      </c>
    </row>
    <row r="57" spans="18:25" hidden="1">
      <c r="R57">
        <v>13</v>
      </c>
      <c r="S57" s="9">
        <v>43185</v>
      </c>
      <c r="T57" s="9">
        <v>43186</v>
      </c>
      <c r="U57" s="9">
        <v>43187</v>
      </c>
      <c r="V57" s="9">
        <v>43188</v>
      </c>
      <c r="W57" s="9">
        <v>43189</v>
      </c>
      <c r="X57" s="9">
        <v>43190</v>
      </c>
      <c r="Y57" s="9">
        <v>43191</v>
      </c>
    </row>
    <row r="58" spans="18:25" hidden="1">
      <c r="R58">
        <v>14</v>
      </c>
      <c r="S58" s="9">
        <v>43192</v>
      </c>
      <c r="T58" s="9">
        <v>43193</v>
      </c>
      <c r="U58" s="9">
        <v>43194</v>
      </c>
      <c r="V58" s="9">
        <v>43195</v>
      </c>
      <c r="W58" s="9">
        <v>43196</v>
      </c>
      <c r="X58" s="9">
        <v>43197</v>
      </c>
      <c r="Y58" s="9">
        <v>43198</v>
      </c>
    </row>
    <row r="59" spans="18:25" hidden="1">
      <c r="R59">
        <v>15</v>
      </c>
      <c r="S59" s="9">
        <v>43199</v>
      </c>
      <c r="T59" s="9">
        <v>43200</v>
      </c>
      <c r="U59" s="9">
        <v>43201</v>
      </c>
      <c r="V59" s="9">
        <v>43202</v>
      </c>
      <c r="W59" s="9">
        <v>43203</v>
      </c>
      <c r="X59" s="9">
        <v>43204</v>
      </c>
      <c r="Y59" s="9">
        <v>43205</v>
      </c>
    </row>
    <row r="60" spans="18:25" hidden="1">
      <c r="R60">
        <v>16</v>
      </c>
      <c r="S60" s="9">
        <v>43206</v>
      </c>
      <c r="T60" s="9">
        <v>43207</v>
      </c>
      <c r="U60" s="9">
        <v>43208</v>
      </c>
      <c r="V60" s="9">
        <v>43209</v>
      </c>
      <c r="W60" s="9">
        <v>43210</v>
      </c>
      <c r="X60" s="9">
        <v>43211</v>
      </c>
      <c r="Y60" s="9">
        <v>43212</v>
      </c>
    </row>
    <row r="61" spans="18:25" hidden="1">
      <c r="R61">
        <v>17</v>
      </c>
      <c r="S61" s="9">
        <v>43213</v>
      </c>
      <c r="T61" s="9">
        <v>43214</v>
      </c>
      <c r="U61" s="9">
        <v>43215</v>
      </c>
      <c r="V61" s="9">
        <v>43216</v>
      </c>
      <c r="W61" s="9">
        <v>43217</v>
      </c>
      <c r="X61" s="9">
        <v>43218</v>
      </c>
      <c r="Y61" s="9">
        <v>43219</v>
      </c>
    </row>
    <row r="62" spans="18:25" hidden="1">
      <c r="R62">
        <v>18</v>
      </c>
      <c r="S62" s="9">
        <v>43220</v>
      </c>
      <c r="T62" s="9">
        <v>43221</v>
      </c>
      <c r="U62" s="9">
        <v>43222</v>
      </c>
      <c r="V62" s="9">
        <v>43223</v>
      </c>
      <c r="W62" s="9">
        <v>43224</v>
      </c>
      <c r="X62" s="9">
        <v>43225</v>
      </c>
      <c r="Y62" s="9">
        <v>43226</v>
      </c>
    </row>
    <row r="63" spans="18:25" hidden="1">
      <c r="R63">
        <v>19</v>
      </c>
      <c r="S63" s="9">
        <v>43227</v>
      </c>
      <c r="T63" s="9">
        <v>43228</v>
      </c>
      <c r="U63" s="9">
        <v>43229</v>
      </c>
      <c r="V63" s="9">
        <v>43230</v>
      </c>
      <c r="W63" s="9">
        <v>43231</v>
      </c>
      <c r="X63" s="9">
        <v>43232</v>
      </c>
      <c r="Y63" s="9">
        <v>43233</v>
      </c>
    </row>
    <row r="64" spans="18:25" hidden="1">
      <c r="R64">
        <v>20</v>
      </c>
      <c r="S64" s="9">
        <v>43234</v>
      </c>
      <c r="T64" s="9">
        <v>43235</v>
      </c>
      <c r="U64" s="9">
        <v>43236</v>
      </c>
      <c r="V64" s="9">
        <v>43237</v>
      </c>
      <c r="W64" s="9">
        <v>43238</v>
      </c>
      <c r="X64" s="9">
        <v>43239</v>
      </c>
      <c r="Y64" s="9">
        <v>43240</v>
      </c>
    </row>
    <row r="65" spans="18:25" hidden="1">
      <c r="R65">
        <v>21</v>
      </c>
      <c r="S65" s="9">
        <v>43241</v>
      </c>
      <c r="T65" s="9">
        <v>43242</v>
      </c>
      <c r="U65" s="9">
        <v>43243</v>
      </c>
      <c r="V65" s="9">
        <v>43244</v>
      </c>
      <c r="W65" s="9">
        <v>43245</v>
      </c>
      <c r="X65" s="9">
        <v>43246</v>
      </c>
      <c r="Y65" s="9">
        <v>43247</v>
      </c>
    </row>
    <row r="66" spans="18:25" hidden="1">
      <c r="R66">
        <v>22</v>
      </c>
      <c r="S66" s="9">
        <v>43248</v>
      </c>
      <c r="T66" s="9">
        <v>43249</v>
      </c>
      <c r="U66" s="9">
        <v>43250</v>
      </c>
      <c r="V66" s="9">
        <v>43251</v>
      </c>
      <c r="W66" s="9">
        <v>43252</v>
      </c>
      <c r="X66" s="9">
        <v>43253</v>
      </c>
      <c r="Y66" s="9">
        <v>43254</v>
      </c>
    </row>
    <row r="67" spans="18:25" hidden="1">
      <c r="R67">
        <v>23</v>
      </c>
      <c r="S67" s="9">
        <v>43255</v>
      </c>
      <c r="T67" s="9">
        <v>43256</v>
      </c>
      <c r="U67" s="9">
        <v>43257</v>
      </c>
      <c r="V67" s="9">
        <v>43258</v>
      </c>
      <c r="W67" s="9">
        <v>43259</v>
      </c>
      <c r="X67" s="9">
        <v>43260</v>
      </c>
      <c r="Y67" s="9">
        <v>43261</v>
      </c>
    </row>
    <row r="68" spans="18:25" hidden="1">
      <c r="R68">
        <v>24</v>
      </c>
      <c r="S68" s="9">
        <v>43262</v>
      </c>
      <c r="T68" s="9">
        <v>43263</v>
      </c>
      <c r="U68" s="9">
        <v>43264</v>
      </c>
      <c r="V68" s="9">
        <v>43265</v>
      </c>
      <c r="W68" s="9">
        <v>43266</v>
      </c>
      <c r="X68" s="9">
        <v>43267</v>
      </c>
      <c r="Y68" s="9">
        <v>43268</v>
      </c>
    </row>
    <row r="69" spans="18:25" hidden="1">
      <c r="R69">
        <v>25</v>
      </c>
      <c r="S69" s="9">
        <v>43269</v>
      </c>
      <c r="T69" s="9">
        <v>43270</v>
      </c>
      <c r="U69" s="9">
        <v>43271</v>
      </c>
      <c r="V69" s="9">
        <v>43272</v>
      </c>
      <c r="W69" s="9">
        <v>43273</v>
      </c>
      <c r="X69" s="9">
        <v>43274</v>
      </c>
      <c r="Y69" s="9">
        <v>43275</v>
      </c>
    </row>
    <row r="70" spans="18:25" hidden="1">
      <c r="R70">
        <v>26</v>
      </c>
      <c r="S70" s="9">
        <v>43276</v>
      </c>
      <c r="T70" s="9">
        <v>43277</v>
      </c>
      <c r="U70" s="9">
        <v>43278</v>
      </c>
      <c r="V70" s="9">
        <v>43279</v>
      </c>
      <c r="W70" s="9">
        <v>43280</v>
      </c>
      <c r="X70" s="9">
        <v>43281</v>
      </c>
      <c r="Y70" s="9">
        <v>43282</v>
      </c>
    </row>
    <row r="71" spans="18:25" hidden="1">
      <c r="R71">
        <v>27</v>
      </c>
      <c r="S71" s="9">
        <v>43283</v>
      </c>
      <c r="T71" s="9">
        <v>43284</v>
      </c>
      <c r="U71" s="9">
        <v>43285</v>
      </c>
      <c r="V71" s="9">
        <v>43286</v>
      </c>
      <c r="W71" s="9">
        <v>43287</v>
      </c>
      <c r="X71" s="9">
        <v>43288</v>
      </c>
      <c r="Y71" s="9">
        <v>43289</v>
      </c>
    </row>
    <row r="72" spans="18:25" hidden="1">
      <c r="R72">
        <v>28</v>
      </c>
      <c r="S72" s="9">
        <v>43290</v>
      </c>
      <c r="T72" s="9">
        <v>43291</v>
      </c>
      <c r="U72" s="9">
        <v>43292</v>
      </c>
      <c r="V72" s="9">
        <v>43293</v>
      </c>
      <c r="W72" s="9">
        <v>43294</v>
      </c>
      <c r="X72" s="9">
        <v>43295</v>
      </c>
      <c r="Y72" s="9">
        <v>43296</v>
      </c>
    </row>
    <row r="73" spans="18:25" hidden="1">
      <c r="R73">
        <v>29</v>
      </c>
      <c r="S73" s="9">
        <v>43297</v>
      </c>
      <c r="T73" s="9">
        <v>43298</v>
      </c>
      <c r="U73" s="9">
        <v>43299</v>
      </c>
      <c r="V73" s="9">
        <v>43300</v>
      </c>
      <c r="W73" s="9">
        <v>43301</v>
      </c>
      <c r="X73" s="9">
        <v>43302</v>
      </c>
      <c r="Y73" s="9">
        <v>43303</v>
      </c>
    </row>
    <row r="74" spans="18:25" hidden="1">
      <c r="R74">
        <v>30</v>
      </c>
      <c r="S74" s="9">
        <v>43304</v>
      </c>
      <c r="T74" s="9">
        <v>43305</v>
      </c>
      <c r="U74" s="9">
        <v>43306</v>
      </c>
      <c r="V74" s="9">
        <v>43307</v>
      </c>
      <c r="W74" s="9">
        <v>43308</v>
      </c>
      <c r="X74" s="9">
        <v>43309</v>
      </c>
      <c r="Y74" s="9">
        <v>43310</v>
      </c>
    </row>
    <row r="75" spans="18:25" hidden="1">
      <c r="R75">
        <v>31</v>
      </c>
      <c r="S75" s="9">
        <v>43311</v>
      </c>
      <c r="T75" s="9">
        <v>43312</v>
      </c>
      <c r="U75" s="9">
        <v>43313</v>
      </c>
      <c r="V75" s="9">
        <v>43314</v>
      </c>
      <c r="W75" s="9">
        <v>43315</v>
      </c>
      <c r="X75" s="9">
        <v>43316</v>
      </c>
      <c r="Y75" s="9">
        <v>43317</v>
      </c>
    </row>
    <row r="76" spans="18:25" hidden="1">
      <c r="R76" s="9"/>
      <c r="S76" s="9">
        <v>43318</v>
      </c>
      <c r="T76" s="9">
        <v>43319</v>
      </c>
      <c r="U76" s="9">
        <v>43320</v>
      </c>
      <c r="V76" s="9">
        <v>43321</v>
      </c>
      <c r="W76" s="9">
        <v>43322</v>
      </c>
      <c r="X76" s="9">
        <v>43323</v>
      </c>
      <c r="Y76" s="9">
        <v>43324</v>
      </c>
    </row>
    <row r="77" spans="18:25" hidden="1">
      <c r="R77" t="s">
        <v>80</v>
      </c>
      <c r="S77" s="9">
        <v>43325</v>
      </c>
      <c r="T77" s="9">
        <v>43326</v>
      </c>
      <c r="U77" s="9">
        <v>43327</v>
      </c>
      <c r="V77" s="9">
        <v>43328</v>
      </c>
      <c r="W77" s="9">
        <v>43329</v>
      </c>
      <c r="X77" s="9">
        <v>43330</v>
      </c>
      <c r="Y77" s="9">
        <v>43331</v>
      </c>
    </row>
    <row r="78" spans="18:25" hidden="1">
      <c r="R78" t="s">
        <v>81</v>
      </c>
      <c r="S78" s="9">
        <v>43332</v>
      </c>
      <c r="T78" s="9">
        <v>43333</v>
      </c>
      <c r="U78" s="9">
        <v>43334</v>
      </c>
      <c r="V78" s="9">
        <v>43335</v>
      </c>
      <c r="W78" s="9">
        <v>43336</v>
      </c>
      <c r="X78" s="9">
        <v>43337</v>
      </c>
      <c r="Y78" s="9">
        <v>43338</v>
      </c>
    </row>
    <row r="79" spans="18:25" hidden="1">
      <c r="R79" t="s">
        <v>82</v>
      </c>
      <c r="S79" s="9">
        <v>43339</v>
      </c>
      <c r="T79" s="9">
        <v>43340</v>
      </c>
      <c r="U79" s="9">
        <v>43341</v>
      </c>
      <c r="V79" s="9">
        <v>43342</v>
      </c>
      <c r="W79" s="9">
        <v>43343</v>
      </c>
      <c r="X79" s="9">
        <v>43344</v>
      </c>
      <c r="Y79" s="9">
        <v>43345</v>
      </c>
    </row>
    <row r="80" spans="18:25" hidden="1">
      <c r="S80" s="9">
        <v>43346</v>
      </c>
      <c r="T80" s="9">
        <v>43347</v>
      </c>
      <c r="U80" s="9">
        <v>43348</v>
      </c>
      <c r="V80" s="9">
        <v>43349</v>
      </c>
      <c r="W80" s="9">
        <v>43350</v>
      </c>
      <c r="X80" s="9">
        <v>43351</v>
      </c>
      <c r="Y80" s="9">
        <v>43352</v>
      </c>
    </row>
    <row r="81" spans="19:25" hidden="1">
      <c r="S81" s="9">
        <v>43353</v>
      </c>
      <c r="T81" s="9">
        <v>43354</v>
      </c>
      <c r="U81" s="9">
        <v>43355</v>
      </c>
      <c r="V81" s="9">
        <v>43356</v>
      </c>
      <c r="W81" s="9">
        <v>43357</v>
      </c>
      <c r="X81" s="9">
        <v>43358</v>
      </c>
      <c r="Y81" s="9">
        <v>43359</v>
      </c>
    </row>
    <row r="82" spans="19:25" hidden="1">
      <c r="S82" s="9">
        <v>43360</v>
      </c>
      <c r="T82" s="9">
        <v>43361</v>
      </c>
      <c r="U82" s="9">
        <v>43362</v>
      </c>
      <c r="V82" s="9">
        <v>43363</v>
      </c>
      <c r="W82" s="9">
        <v>43364</v>
      </c>
      <c r="X82" s="9">
        <v>43365</v>
      </c>
      <c r="Y82" s="9">
        <v>43366</v>
      </c>
    </row>
    <row r="83" spans="19:25" hidden="1">
      <c r="S83" s="9">
        <v>43367</v>
      </c>
      <c r="T83" s="9">
        <v>43368</v>
      </c>
      <c r="U83" s="9">
        <v>43369</v>
      </c>
      <c r="V83" s="9">
        <v>43370</v>
      </c>
      <c r="W83" s="9">
        <v>43371</v>
      </c>
      <c r="X83" s="9">
        <v>43372</v>
      </c>
      <c r="Y83" s="9">
        <v>43373</v>
      </c>
    </row>
    <row r="84" spans="19:25" hidden="1">
      <c r="S84" s="9">
        <v>43374</v>
      </c>
      <c r="T84" s="9">
        <v>43375</v>
      </c>
      <c r="U84" s="9">
        <v>43376</v>
      </c>
      <c r="V84" s="9">
        <v>43377</v>
      </c>
      <c r="W84" s="9">
        <v>43378</v>
      </c>
      <c r="X84" s="9">
        <v>43379</v>
      </c>
      <c r="Y84" s="9">
        <v>43380</v>
      </c>
    </row>
    <row r="85" spans="19:25" hidden="1">
      <c r="S85" s="9">
        <v>43381</v>
      </c>
      <c r="T85" s="9">
        <v>43382</v>
      </c>
      <c r="U85" s="9">
        <v>43383</v>
      </c>
      <c r="V85" s="9">
        <v>43384</v>
      </c>
      <c r="W85" s="9">
        <v>43385</v>
      </c>
      <c r="X85" s="9">
        <v>43386</v>
      </c>
      <c r="Y85" s="9">
        <v>43387</v>
      </c>
    </row>
    <row r="86" spans="19:25" hidden="1">
      <c r="S86" s="9">
        <v>43388</v>
      </c>
      <c r="T86" s="9">
        <v>43389</v>
      </c>
      <c r="U86" s="9">
        <v>43390</v>
      </c>
      <c r="V86" s="9">
        <v>43391</v>
      </c>
      <c r="W86" s="9">
        <v>43392</v>
      </c>
      <c r="X86" s="9">
        <v>43393</v>
      </c>
      <c r="Y86" s="9">
        <v>43394</v>
      </c>
    </row>
    <row r="87" spans="19:25" hidden="1">
      <c r="S87" s="9">
        <v>43395</v>
      </c>
      <c r="T87" s="9">
        <v>43396</v>
      </c>
      <c r="U87" s="9">
        <v>43397</v>
      </c>
      <c r="V87" s="9">
        <v>43398</v>
      </c>
      <c r="W87" s="9">
        <v>43399</v>
      </c>
      <c r="X87" s="9">
        <v>43400</v>
      </c>
      <c r="Y87" s="9">
        <v>43401</v>
      </c>
    </row>
    <row r="88" spans="19:25" hidden="1">
      <c r="S88" s="9">
        <v>43402</v>
      </c>
      <c r="T88" s="9">
        <v>43403</v>
      </c>
      <c r="U88" s="9">
        <v>43404</v>
      </c>
      <c r="V88" s="9">
        <v>43405</v>
      </c>
      <c r="W88" s="9">
        <v>43406</v>
      </c>
      <c r="X88" s="9">
        <v>43407</v>
      </c>
      <c r="Y88" s="9">
        <v>43408</v>
      </c>
    </row>
    <row r="89" spans="19:25" hidden="1">
      <c r="S89" s="9">
        <v>43409</v>
      </c>
      <c r="T89" s="9">
        <v>43410</v>
      </c>
      <c r="U89" s="9">
        <v>43411</v>
      </c>
      <c r="V89" s="9">
        <v>43412</v>
      </c>
      <c r="W89" s="9">
        <v>43413</v>
      </c>
      <c r="X89" s="9">
        <v>43414</v>
      </c>
      <c r="Y89" s="9">
        <v>43415</v>
      </c>
    </row>
    <row r="90" spans="19:25" hidden="1">
      <c r="S90" s="9">
        <v>43416</v>
      </c>
      <c r="T90" s="9">
        <v>43417</v>
      </c>
      <c r="U90" s="9">
        <v>43418</v>
      </c>
      <c r="V90" s="9">
        <v>43419</v>
      </c>
      <c r="W90" s="9">
        <v>43420</v>
      </c>
      <c r="X90" s="9">
        <v>43421</v>
      </c>
      <c r="Y90" s="9">
        <v>43422</v>
      </c>
    </row>
    <row r="91" spans="19:25" hidden="1">
      <c r="S91" s="9">
        <v>43423</v>
      </c>
      <c r="T91" s="9">
        <v>43424</v>
      </c>
      <c r="U91" s="9">
        <v>43425</v>
      </c>
      <c r="V91" s="9">
        <v>43426</v>
      </c>
      <c r="W91" s="9">
        <v>43427</v>
      </c>
      <c r="X91" s="9">
        <v>43428</v>
      </c>
      <c r="Y91" s="9">
        <v>43429</v>
      </c>
    </row>
    <row r="92" spans="19:25" hidden="1">
      <c r="S92" s="9">
        <v>43430</v>
      </c>
      <c r="T92" s="9">
        <v>43431</v>
      </c>
      <c r="U92" s="9">
        <v>43432</v>
      </c>
      <c r="V92" s="9">
        <v>43433</v>
      </c>
      <c r="W92" s="9">
        <v>43434</v>
      </c>
      <c r="X92" s="9">
        <v>43435</v>
      </c>
      <c r="Y92" s="9">
        <v>43436</v>
      </c>
    </row>
    <row r="93" spans="19:25" hidden="1">
      <c r="S93" s="9">
        <v>43437</v>
      </c>
      <c r="T93" s="9">
        <v>43438</v>
      </c>
      <c r="U93" s="9">
        <v>43439</v>
      </c>
      <c r="V93" s="9">
        <v>43440</v>
      </c>
      <c r="W93" s="9">
        <v>43441</v>
      </c>
      <c r="X93" s="9">
        <v>43442</v>
      </c>
      <c r="Y93" s="9">
        <v>43443</v>
      </c>
    </row>
    <row r="94" spans="19:25" hidden="1">
      <c r="S94" s="9">
        <v>43444</v>
      </c>
      <c r="T94" s="9">
        <v>43445</v>
      </c>
      <c r="U94" s="9">
        <v>43446</v>
      </c>
      <c r="V94" s="9">
        <v>43447</v>
      </c>
      <c r="W94" s="9">
        <v>43448</v>
      </c>
      <c r="X94" s="9">
        <v>43449</v>
      </c>
      <c r="Y94" s="9">
        <v>43450</v>
      </c>
    </row>
    <row r="95" spans="19:25" hidden="1">
      <c r="S95" s="9">
        <v>43451</v>
      </c>
      <c r="T95" s="9">
        <v>43452</v>
      </c>
      <c r="U95" s="9">
        <v>43453</v>
      </c>
      <c r="V95" s="9">
        <v>43454</v>
      </c>
      <c r="W95" s="9">
        <v>43455</v>
      </c>
      <c r="X95" s="9">
        <v>43456</v>
      </c>
      <c r="Y95" s="9">
        <v>43457</v>
      </c>
    </row>
    <row r="96" spans="19:25" hidden="1">
      <c r="S96" s="9">
        <v>43458</v>
      </c>
      <c r="T96" s="9">
        <v>43459</v>
      </c>
      <c r="U96" s="9">
        <v>43460</v>
      </c>
      <c r="V96" s="9">
        <v>43461</v>
      </c>
      <c r="W96" s="9">
        <v>43462</v>
      </c>
      <c r="X96" s="9">
        <v>43463</v>
      </c>
      <c r="Y96" s="9">
        <v>43464</v>
      </c>
    </row>
    <row r="97" spans="19:25" hidden="1">
      <c r="S97" s="9">
        <v>43465</v>
      </c>
      <c r="T97" s="9">
        <v>43466</v>
      </c>
      <c r="U97" s="9">
        <v>43467</v>
      </c>
      <c r="V97" s="9">
        <v>43468</v>
      </c>
      <c r="W97" s="9">
        <v>43469</v>
      </c>
      <c r="X97" s="9">
        <v>43470</v>
      </c>
      <c r="Y97" s="9">
        <v>43471</v>
      </c>
    </row>
    <row r="98" spans="19:25" hidden="1">
      <c r="S98" s="9">
        <v>43472</v>
      </c>
      <c r="T98" s="9">
        <v>43473</v>
      </c>
      <c r="U98" s="9">
        <v>43474</v>
      </c>
      <c r="V98" s="9">
        <v>43475</v>
      </c>
      <c r="W98" s="9">
        <v>43476</v>
      </c>
      <c r="X98" s="9">
        <v>43477</v>
      </c>
      <c r="Y98" s="9">
        <v>43478</v>
      </c>
    </row>
    <row r="99" spans="19:25" hidden="1">
      <c r="S99" s="9">
        <v>43479</v>
      </c>
      <c r="T99" s="9">
        <v>43480</v>
      </c>
      <c r="U99" s="9">
        <v>43481</v>
      </c>
      <c r="V99" s="9">
        <v>43482</v>
      </c>
      <c r="W99" s="9">
        <v>43483</v>
      </c>
      <c r="X99" s="9">
        <v>43484</v>
      </c>
      <c r="Y99" s="9">
        <v>43485</v>
      </c>
    </row>
    <row r="100" spans="19:25" hidden="1">
      <c r="S100" s="9">
        <v>43486</v>
      </c>
      <c r="T100" s="9">
        <v>43487</v>
      </c>
      <c r="U100" s="9">
        <v>43488</v>
      </c>
      <c r="V100" s="9">
        <v>43489</v>
      </c>
      <c r="W100" s="9">
        <v>43490</v>
      </c>
      <c r="X100" s="9">
        <v>43491</v>
      </c>
      <c r="Y100" s="9">
        <v>43492</v>
      </c>
    </row>
  </sheetData>
  <sheetProtection selectLockedCells="1" selectUnlockedCells="1"/>
  <dataConsolidate/>
  <mergeCells count="3">
    <mergeCell ref="B1:D1"/>
    <mergeCell ref="E1:F1"/>
    <mergeCell ref="G1:H1"/>
  </mergeCell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6CFC28-655F-4640-97FD-D158ADEFC4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MAIN</vt:lpstr>
      <vt:lpstr>FINAL ROSTER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Regis</dc:creator>
  <cp:lastModifiedBy>Wellington Regis</cp:lastModifiedBy>
  <cp:lastPrinted>2018-08-21T15:06:40Z</cp:lastPrinted>
  <dcterms:created xsi:type="dcterms:W3CDTF">2018-08-17T09:52:11Z</dcterms:created>
  <dcterms:modified xsi:type="dcterms:W3CDTF">2018-09-11T19:23:52Z</dcterms:modified>
</cp:coreProperties>
</file>